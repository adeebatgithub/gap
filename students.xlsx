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deeb\project\gap\"/>
    </mc:Choice>
  </mc:AlternateContent>
  <xr:revisionPtr revIDLastSave="0" documentId="8_{7410FBE7-9C5A-4B78-8B2E-47E93E9DF1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Individual" sheetId="2" r:id="rId2"/>
    <sheet name="Data" sheetId="3" r:id="rId3"/>
  </sheets>
  <definedNames>
    <definedName name="_xlnm._FilterDatabase" localSheetId="2" hidden="1">Data!$A$1:$G$176</definedName>
    <definedName name="_xlnm._FilterDatabase" localSheetId="0" hidden="1">Sheet1!$A$3:$AH$186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 a="1"/>
  <c r="E15" i="2" s="1"/>
  <c r="D15" i="2"/>
  <c r="E14" i="2" a="1"/>
  <c r="E14" i="2" s="1"/>
  <c r="B14" i="2" a="1"/>
  <c r="B14" i="2" s="1"/>
  <c r="E13" i="2" a="1"/>
  <c r="E13" i="2" s="1"/>
  <c r="B13" i="2" a="1"/>
  <c r="B13" i="2" s="1"/>
  <c r="E12" i="2" a="1"/>
  <c r="E12" i="2" s="1"/>
  <c r="B12" i="2" a="1"/>
  <c r="B12" i="2" s="1"/>
  <c r="E11" i="2" a="1"/>
  <c r="E11" i="2" s="1"/>
  <c r="B11" i="2" a="1"/>
  <c r="B11" i="2" s="1"/>
  <c r="E10" i="2" a="1"/>
  <c r="E10" i="2" s="1"/>
  <c r="B10" i="2" a="1"/>
  <c r="B10" i="2" s="1"/>
  <c r="E9" i="2" a="1"/>
  <c r="E9" i="2" s="1"/>
  <c r="C9" i="2" a="1"/>
  <c r="C9" i="2" s="1"/>
  <c r="B9" i="2" a="1"/>
  <c r="B9" i="2" s="1"/>
  <c r="B7" i="2" a="1"/>
  <c r="B7" i="2" s="1"/>
  <c r="E6" i="2" a="1"/>
  <c r="E6" i="2" s="1"/>
  <c r="B6" i="2" a="1"/>
  <c r="B6" i="2" s="1"/>
  <c r="E5" i="2" a="1"/>
  <c r="E5" i="2" s="1"/>
  <c r="B5" i="2" a="1"/>
  <c r="B5" i="2" s="1"/>
  <c r="T191" i="1"/>
  <c r="S191" i="1"/>
  <c r="R191" i="1"/>
  <c r="Q191" i="1"/>
  <c r="P191" i="1"/>
  <c r="N191" i="1"/>
  <c r="U186" i="1"/>
  <c r="J186" i="1" s="1"/>
  <c r="M186" i="1"/>
  <c r="G186" i="1"/>
  <c r="F186" i="1"/>
  <c r="A186" i="1"/>
  <c r="U185" i="1"/>
  <c r="J185" i="1" s="1"/>
  <c r="M185" i="1"/>
  <c r="G185" i="1"/>
  <c r="F185" i="1"/>
  <c r="A185" i="1"/>
  <c r="U184" i="1"/>
  <c r="J184" i="1" s="1"/>
  <c r="M184" i="1"/>
  <c r="G184" i="1"/>
  <c r="F184" i="1"/>
  <c r="E184" i="1"/>
  <c r="D184" i="1"/>
  <c r="A184" i="1"/>
  <c r="U183" i="1"/>
  <c r="M183" i="1"/>
  <c r="J183" i="1"/>
  <c r="G183" i="1"/>
  <c r="F183" i="1"/>
  <c r="E183" i="1"/>
  <c r="D183" i="1"/>
  <c r="A183" i="1"/>
  <c r="U182" i="1"/>
  <c r="M182" i="1"/>
  <c r="J182" i="1" s="1"/>
  <c r="G182" i="1"/>
  <c r="F182" i="1"/>
  <c r="E182" i="1"/>
  <c r="D182" i="1"/>
  <c r="A182" i="1"/>
  <c r="U181" i="1"/>
  <c r="M181" i="1"/>
  <c r="J181" i="1" s="1"/>
  <c r="G181" i="1"/>
  <c r="F181" i="1"/>
  <c r="E181" i="1"/>
  <c r="D181" i="1"/>
  <c r="A181" i="1"/>
  <c r="U180" i="1"/>
  <c r="M180" i="1"/>
  <c r="J180" i="1"/>
  <c r="G180" i="1"/>
  <c r="F180" i="1"/>
  <c r="E180" i="1"/>
  <c r="D180" i="1"/>
  <c r="A180" i="1"/>
  <c r="U179" i="1"/>
  <c r="J179" i="1" s="1"/>
  <c r="M179" i="1"/>
  <c r="G179" i="1"/>
  <c r="F179" i="1"/>
  <c r="E179" i="1"/>
  <c r="D179" i="1"/>
  <c r="A179" i="1"/>
  <c r="U178" i="1"/>
  <c r="M178" i="1"/>
  <c r="J178" i="1" s="1"/>
  <c r="G178" i="1"/>
  <c r="F178" i="1"/>
  <c r="E178" i="1"/>
  <c r="D178" i="1"/>
  <c r="A178" i="1"/>
  <c r="U177" i="1"/>
  <c r="M177" i="1"/>
  <c r="J177" i="1"/>
  <c r="G177" i="1"/>
  <c r="F177" i="1"/>
  <c r="E177" i="1"/>
  <c r="D177" i="1"/>
  <c r="A177" i="1"/>
  <c r="U176" i="1"/>
  <c r="J176" i="1" s="1"/>
  <c r="M176" i="1"/>
  <c r="A176" i="1"/>
  <c r="U175" i="1"/>
  <c r="M175" i="1"/>
  <c r="J175" i="1"/>
  <c r="A175" i="1"/>
  <c r="U174" i="1"/>
  <c r="M174" i="1"/>
  <c r="J174" i="1" s="1"/>
  <c r="A174" i="1"/>
  <c r="U173" i="1"/>
  <c r="J173" i="1" s="1"/>
  <c r="M173" i="1"/>
  <c r="A173" i="1"/>
  <c r="U172" i="1"/>
  <c r="M172" i="1"/>
  <c r="J172" i="1"/>
  <c r="A172" i="1"/>
  <c r="U171" i="1"/>
  <c r="M171" i="1"/>
  <c r="J171" i="1" s="1"/>
  <c r="A171" i="1"/>
  <c r="U170" i="1"/>
  <c r="J170" i="1" s="1"/>
  <c r="M170" i="1"/>
  <c r="A170" i="1"/>
  <c r="U169" i="1"/>
  <c r="M169" i="1"/>
  <c r="J169" i="1"/>
  <c r="A169" i="1"/>
  <c r="U168" i="1"/>
  <c r="M168" i="1"/>
  <c r="J168" i="1" s="1"/>
  <c r="A168" i="1"/>
  <c r="U167" i="1"/>
  <c r="J167" i="1" s="1"/>
  <c r="M167" i="1"/>
  <c r="A167" i="1"/>
  <c r="U166" i="1"/>
  <c r="M166" i="1"/>
  <c r="J166" i="1"/>
  <c r="A166" i="1"/>
  <c r="U165" i="1"/>
  <c r="M165" i="1"/>
  <c r="J165" i="1" s="1"/>
  <c r="G165" i="1"/>
  <c r="F165" i="1"/>
  <c r="E165" i="1"/>
  <c r="D165" i="1"/>
  <c r="A165" i="1"/>
  <c r="U164" i="1"/>
  <c r="M164" i="1"/>
  <c r="J164" i="1"/>
  <c r="G164" i="1"/>
  <c r="F164" i="1"/>
  <c r="E164" i="1"/>
  <c r="D164" i="1"/>
  <c r="A164" i="1"/>
  <c r="U163" i="1"/>
  <c r="J163" i="1" s="1"/>
  <c r="M163" i="1"/>
  <c r="G163" i="1"/>
  <c r="F163" i="1"/>
  <c r="E163" i="1"/>
  <c r="D163" i="1"/>
  <c r="A163" i="1"/>
  <c r="U162" i="1"/>
  <c r="M162" i="1"/>
  <c r="J162" i="1" s="1"/>
  <c r="G162" i="1"/>
  <c r="F162" i="1"/>
  <c r="E162" i="1"/>
  <c r="D162" i="1"/>
  <c r="A162" i="1"/>
  <c r="U161" i="1"/>
  <c r="M161" i="1"/>
  <c r="J161" i="1"/>
  <c r="G161" i="1"/>
  <c r="F161" i="1"/>
  <c r="E161" i="1"/>
  <c r="D161" i="1"/>
  <c r="A161" i="1"/>
  <c r="U160" i="1"/>
  <c r="M160" i="1"/>
  <c r="J160" i="1" s="1"/>
  <c r="G160" i="1"/>
  <c r="F160" i="1"/>
  <c r="E160" i="1"/>
  <c r="D160" i="1"/>
  <c r="A160" i="1"/>
  <c r="U159" i="1"/>
  <c r="M159" i="1"/>
  <c r="J159" i="1" s="1"/>
  <c r="G159" i="1"/>
  <c r="F159" i="1"/>
  <c r="E159" i="1"/>
  <c r="D159" i="1"/>
  <c r="A159" i="1"/>
  <c r="U158" i="1"/>
  <c r="M158" i="1"/>
  <c r="J158" i="1"/>
  <c r="G158" i="1"/>
  <c r="F158" i="1"/>
  <c r="E158" i="1"/>
  <c r="D158" i="1"/>
  <c r="A158" i="1"/>
  <c r="U157" i="1"/>
  <c r="M157" i="1"/>
  <c r="J157" i="1" s="1"/>
  <c r="G157" i="1"/>
  <c r="F157" i="1"/>
  <c r="E157" i="1"/>
  <c r="D157" i="1"/>
  <c r="A157" i="1"/>
  <c r="U156" i="1"/>
  <c r="M156" i="1"/>
  <c r="J156" i="1" s="1"/>
  <c r="G156" i="1"/>
  <c r="F156" i="1"/>
  <c r="E156" i="1"/>
  <c r="D156" i="1"/>
  <c r="A156" i="1"/>
  <c r="U155" i="1"/>
  <c r="M155" i="1"/>
  <c r="J155" i="1"/>
  <c r="G155" i="1"/>
  <c r="F155" i="1"/>
  <c r="E155" i="1"/>
  <c r="D155" i="1"/>
  <c r="A155" i="1"/>
  <c r="U154" i="1"/>
  <c r="M154" i="1"/>
  <c r="J154" i="1" s="1"/>
  <c r="G154" i="1"/>
  <c r="F154" i="1"/>
  <c r="E154" i="1"/>
  <c r="D154" i="1"/>
  <c r="A154" i="1"/>
  <c r="U153" i="1"/>
  <c r="M153" i="1"/>
  <c r="J153" i="1" s="1"/>
  <c r="G153" i="1"/>
  <c r="F153" i="1"/>
  <c r="E153" i="1"/>
  <c r="D153" i="1"/>
  <c r="A153" i="1"/>
  <c r="U152" i="1"/>
  <c r="M152" i="1"/>
  <c r="J152" i="1"/>
  <c r="G152" i="1"/>
  <c r="F152" i="1"/>
  <c r="E152" i="1"/>
  <c r="D152" i="1"/>
  <c r="A152" i="1"/>
  <c r="U151" i="1"/>
  <c r="M151" i="1"/>
  <c r="J151" i="1" s="1"/>
  <c r="G151" i="1"/>
  <c r="F151" i="1"/>
  <c r="E151" i="1"/>
  <c r="D151" i="1"/>
  <c r="A151" i="1"/>
  <c r="U150" i="1"/>
  <c r="M150" i="1"/>
  <c r="J150" i="1" s="1"/>
  <c r="G150" i="1"/>
  <c r="F150" i="1"/>
  <c r="E150" i="1"/>
  <c r="D150" i="1"/>
  <c r="A150" i="1"/>
  <c r="U149" i="1"/>
  <c r="M149" i="1"/>
  <c r="J149" i="1"/>
  <c r="G149" i="1"/>
  <c r="F149" i="1"/>
  <c r="E149" i="1"/>
  <c r="D149" i="1"/>
  <c r="A149" i="1"/>
  <c r="U148" i="1"/>
  <c r="M148" i="1"/>
  <c r="J148" i="1" s="1"/>
  <c r="G148" i="1"/>
  <c r="F148" i="1"/>
  <c r="E148" i="1"/>
  <c r="D148" i="1"/>
  <c r="A148" i="1"/>
  <c r="U147" i="1"/>
  <c r="M147" i="1"/>
  <c r="J147" i="1" s="1"/>
  <c r="G147" i="1"/>
  <c r="F147" i="1"/>
  <c r="E147" i="1"/>
  <c r="D147" i="1"/>
  <c r="A147" i="1"/>
  <c r="U146" i="1"/>
  <c r="M146" i="1"/>
  <c r="J146" i="1"/>
  <c r="G146" i="1"/>
  <c r="F146" i="1"/>
  <c r="E146" i="1"/>
  <c r="D146" i="1"/>
  <c r="A146" i="1"/>
  <c r="U145" i="1"/>
  <c r="M145" i="1"/>
  <c r="J145" i="1" s="1"/>
  <c r="G145" i="1"/>
  <c r="F145" i="1"/>
  <c r="E145" i="1"/>
  <c r="D145" i="1"/>
  <c r="A145" i="1"/>
  <c r="U144" i="1"/>
  <c r="M144" i="1"/>
  <c r="J144" i="1" s="1"/>
  <c r="G144" i="1"/>
  <c r="F144" i="1"/>
  <c r="E144" i="1"/>
  <c r="D144" i="1"/>
  <c r="A144" i="1"/>
  <c r="U143" i="1"/>
  <c r="M143" i="1"/>
  <c r="J143" i="1"/>
  <c r="G143" i="1"/>
  <c r="F143" i="1"/>
  <c r="E143" i="1"/>
  <c r="D143" i="1"/>
  <c r="A143" i="1"/>
  <c r="U142" i="1"/>
  <c r="M142" i="1"/>
  <c r="J142" i="1" s="1"/>
  <c r="G142" i="1"/>
  <c r="F142" i="1"/>
  <c r="E142" i="1"/>
  <c r="D142" i="1"/>
  <c r="A142" i="1"/>
  <c r="U141" i="1"/>
  <c r="M141" i="1"/>
  <c r="J141" i="1" s="1"/>
  <c r="G141" i="1"/>
  <c r="F141" i="1"/>
  <c r="E141" i="1"/>
  <c r="D141" i="1"/>
  <c r="A141" i="1"/>
  <c r="U140" i="1"/>
  <c r="M140" i="1"/>
  <c r="J140" i="1"/>
  <c r="G140" i="1"/>
  <c r="F140" i="1"/>
  <c r="E140" i="1"/>
  <c r="D140" i="1"/>
  <c r="A140" i="1"/>
  <c r="U139" i="1"/>
  <c r="M139" i="1"/>
  <c r="J139" i="1" s="1"/>
  <c r="G139" i="1"/>
  <c r="F139" i="1"/>
  <c r="E139" i="1"/>
  <c r="D139" i="1"/>
  <c r="A139" i="1"/>
  <c r="U138" i="1"/>
  <c r="M138" i="1"/>
  <c r="J138" i="1" s="1"/>
  <c r="G138" i="1"/>
  <c r="F138" i="1"/>
  <c r="E138" i="1"/>
  <c r="D138" i="1"/>
  <c r="A138" i="1"/>
  <c r="U137" i="1"/>
  <c r="M137" i="1"/>
  <c r="J137" i="1"/>
  <c r="G137" i="1"/>
  <c r="F137" i="1"/>
  <c r="E137" i="1"/>
  <c r="D137" i="1"/>
  <c r="A137" i="1"/>
  <c r="U136" i="1"/>
  <c r="M136" i="1"/>
  <c r="J136" i="1" s="1"/>
  <c r="G136" i="1"/>
  <c r="F136" i="1"/>
  <c r="E136" i="1"/>
  <c r="D136" i="1"/>
  <c r="A136" i="1"/>
  <c r="U135" i="1"/>
  <c r="M135" i="1"/>
  <c r="J135" i="1" s="1"/>
  <c r="G135" i="1"/>
  <c r="F135" i="1"/>
  <c r="E135" i="1"/>
  <c r="D135" i="1"/>
  <c r="A135" i="1"/>
  <c r="U134" i="1"/>
  <c r="M134" i="1"/>
  <c r="J134" i="1"/>
  <c r="G134" i="1"/>
  <c r="F134" i="1"/>
  <c r="E134" i="1"/>
  <c r="D134" i="1"/>
  <c r="A134" i="1"/>
  <c r="U133" i="1"/>
  <c r="M133" i="1"/>
  <c r="J133" i="1" s="1"/>
  <c r="G133" i="1"/>
  <c r="F133" i="1"/>
  <c r="E133" i="1"/>
  <c r="D133" i="1"/>
  <c r="A133" i="1"/>
  <c r="U132" i="1"/>
  <c r="M132" i="1"/>
  <c r="J132" i="1" s="1"/>
  <c r="G132" i="1"/>
  <c r="F132" i="1"/>
  <c r="E132" i="1"/>
  <c r="D132" i="1"/>
  <c r="A132" i="1"/>
  <c r="U131" i="1"/>
  <c r="M131" i="1"/>
  <c r="J131" i="1"/>
  <c r="G131" i="1"/>
  <c r="F131" i="1"/>
  <c r="E131" i="1"/>
  <c r="D131" i="1"/>
  <c r="A131" i="1"/>
  <c r="U130" i="1"/>
  <c r="M130" i="1"/>
  <c r="J130" i="1" s="1"/>
  <c r="G130" i="1"/>
  <c r="F130" i="1"/>
  <c r="E130" i="1"/>
  <c r="D130" i="1"/>
  <c r="A130" i="1"/>
  <c r="U129" i="1"/>
  <c r="M129" i="1"/>
  <c r="J129" i="1" s="1"/>
  <c r="G129" i="1"/>
  <c r="F129" i="1"/>
  <c r="E129" i="1"/>
  <c r="D129" i="1"/>
  <c r="A129" i="1"/>
  <c r="U128" i="1"/>
  <c r="M128" i="1"/>
  <c r="J128" i="1"/>
  <c r="G128" i="1"/>
  <c r="F128" i="1"/>
  <c r="E128" i="1"/>
  <c r="D128" i="1"/>
  <c r="A128" i="1"/>
  <c r="U127" i="1"/>
  <c r="M127" i="1"/>
  <c r="J127" i="1" s="1"/>
  <c r="G127" i="1"/>
  <c r="F127" i="1"/>
  <c r="E127" i="1"/>
  <c r="D127" i="1"/>
  <c r="A127" i="1"/>
  <c r="U126" i="1"/>
  <c r="M126" i="1"/>
  <c r="J126" i="1" s="1"/>
  <c r="G126" i="1"/>
  <c r="F126" i="1"/>
  <c r="E126" i="1"/>
  <c r="D126" i="1"/>
  <c r="A126" i="1"/>
  <c r="U125" i="1"/>
  <c r="M125" i="1"/>
  <c r="J125" i="1"/>
  <c r="G125" i="1"/>
  <c r="F125" i="1"/>
  <c r="E125" i="1"/>
  <c r="D125" i="1"/>
  <c r="A125" i="1"/>
  <c r="U124" i="1"/>
  <c r="M124" i="1"/>
  <c r="J124" i="1" s="1"/>
  <c r="G124" i="1"/>
  <c r="F124" i="1"/>
  <c r="E124" i="1"/>
  <c r="D124" i="1"/>
  <c r="A124" i="1"/>
  <c r="U123" i="1"/>
  <c r="M123" i="1"/>
  <c r="J123" i="1" s="1"/>
  <c r="G123" i="1"/>
  <c r="F123" i="1"/>
  <c r="E123" i="1"/>
  <c r="D123" i="1"/>
  <c r="A123" i="1"/>
  <c r="U122" i="1"/>
  <c r="M122" i="1"/>
  <c r="J122" i="1"/>
  <c r="G122" i="1"/>
  <c r="F122" i="1"/>
  <c r="E122" i="1"/>
  <c r="D122" i="1"/>
  <c r="A122" i="1"/>
  <c r="U121" i="1"/>
  <c r="M121" i="1"/>
  <c r="J121" i="1" s="1"/>
  <c r="G121" i="1"/>
  <c r="F121" i="1"/>
  <c r="E121" i="1"/>
  <c r="D121" i="1"/>
  <c r="A121" i="1"/>
  <c r="U120" i="1"/>
  <c r="M120" i="1"/>
  <c r="J120" i="1" s="1"/>
  <c r="G120" i="1"/>
  <c r="F120" i="1"/>
  <c r="E120" i="1"/>
  <c r="D120" i="1"/>
  <c r="A120" i="1"/>
  <c r="U119" i="1"/>
  <c r="M119" i="1"/>
  <c r="J119" i="1"/>
  <c r="G119" i="1"/>
  <c r="F119" i="1"/>
  <c r="E119" i="1"/>
  <c r="D119" i="1"/>
  <c r="A119" i="1"/>
  <c r="U118" i="1"/>
  <c r="M118" i="1"/>
  <c r="J118" i="1" s="1"/>
  <c r="G118" i="1"/>
  <c r="F118" i="1"/>
  <c r="E118" i="1"/>
  <c r="D118" i="1"/>
  <c r="A118" i="1"/>
  <c r="U117" i="1"/>
  <c r="M117" i="1"/>
  <c r="J117" i="1" s="1"/>
  <c r="G117" i="1"/>
  <c r="F117" i="1"/>
  <c r="E117" i="1"/>
  <c r="D117" i="1"/>
  <c r="A117" i="1"/>
  <c r="U116" i="1"/>
  <c r="M116" i="1"/>
  <c r="J116" i="1"/>
  <c r="G116" i="1"/>
  <c r="F116" i="1"/>
  <c r="E116" i="1"/>
  <c r="D116" i="1"/>
  <c r="A116" i="1"/>
  <c r="U115" i="1"/>
  <c r="M115" i="1"/>
  <c r="J115" i="1" s="1"/>
  <c r="G115" i="1"/>
  <c r="F115" i="1"/>
  <c r="E115" i="1"/>
  <c r="D115" i="1"/>
  <c r="A115" i="1"/>
  <c r="U114" i="1"/>
  <c r="M114" i="1"/>
  <c r="J114" i="1" s="1"/>
  <c r="G114" i="1"/>
  <c r="F114" i="1"/>
  <c r="E114" i="1"/>
  <c r="D114" i="1"/>
  <c r="A114" i="1"/>
  <c r="U113" i="1"/>
  <c r="M113" i="1"/>
  <c r="J113" i="1"/>
  <c r="G113" i="1"/>
  <c r="F113" i="1"/>
  <c r="E113" i="1"/>
  <c r="D113" i="1"/>
  <c r="A113" i="1"/>
  <c r="U112" i="1"/>
  <c r="M112" i="1"/>
  <c r="J112" i="1" s="1"/>
  <c r="G112" i="1"/>
  <c r="F112" i="1"/>
  <c r="E112" i="1"/>
  <c r="D112" i="1"/>
  <c r="A112" i="1"/>
  <c r="U111" i="1"/>
  <c r="M111" i="1"/>
  <c r="J111" i="1" s="1"/>
  <c r="G111" i="1"/>
  <c r="F111" i="1"/>
  <c r="E111" i="1"/>
  <c r="D111" i="1"/>
  <c r="A111" i="1"/>
  <c r="U110" i="1"/>
  <c r="M110" i="1"/>
  <c r="J110" i="1"/>
  <c r="G110" i="1"/>
  <c r="F110" i="1"/>
  <c r="E110" i="1"/>
  <c r="D110" i="1"/>
  <c r="A110" i="1"/>
  <c r="U109" i="1"/>
  <c r="M109" i="1"/>
  <c r="J109" i="1" s="1"/>
  <c r="G109" i="1"/>
  <c r="F109" i="1"/>
  <c r="E109" i="1"/>
  <c r="D109" i="1"/>
  <c r="A109" i="1"/>
  <c r="U108" i="1"/>
  <c r="M108" i="1"/>
  <c r="J108" i="1" s="1"/>
  <c r="G108" i="1"/>
  <c r="F108" i="1"/>
  <c r="E108" i="1"/>
  <c r="D108" i="1"/>
  <c r="A108" i="1"/>
  <c r="U107" i="1"/>
  <c r="M107" i="1"/>
  <c r="J107" i="1"/>
  <c r="G107" i="1"/>
  <c r="F107" i="1"/>
  <c r="E107" i="1"/>
  <c r="D107" i="1"/>
  <c r="A107" i="1"/>
  <c r="U106" i="1"/>
  <c r="M106" i="1"/>
  <c r="J106" i="1" s="1"/>
  <c r="G106" i="1"/>
  <c r="F106" i="1"/>
  <c r="E106" i="1"/>
  <c r="D106" i="1"/>
  <c r="A106" i="1"/>
  <c r="U105" i="1"/>
  <c r="M105" i="1"/>
  <c r="J105" i="1" s="1"/>
  <c r="G105" i="1"/>
  <c r="F105" i="1"/>
  <c r="E105" i="1"/>
  <c r="D105" i="1"/>
  <c r="A105" i="1"/>
  <c r="U104" i="1"/>
  <c r="M104" i="1"/>
  <c r="J104" i="1"/>
  <c r="G104" i="1"/>
  <c r="F104" i="1"/>
  <c r="E104" i="1"/>
  <c r="D104" i="1"/>
  <c r="A104" i="1"/>
  <c r="U103" i="1"/>
  <c r="M103" i="1"/>
  <c r="J103" i="1" s="1"/>
  <c r="G103" i="1"/>
  <c r="F103" i="1"/>
  <c r="E103" i="1"/>
  <c r="D103" i="1"/>
  <c r="A103" i="1"/>
  <c r="U102" i="1"/>
  <c r="M102" i="1"/>
  <c r="J102" i="1" s="1"/>
  <c r="G102" i="1"/>
  <c r="F102" i="1"/>
  <c r="E102" i="1"/>
  <c r="D102" i="1"/>
  <c r="A102" i="1"/>
  <c r="U101" i="1"/>
  <c r="M101" i="1"/>
  <c r="J101" i="1"/>
  <c r="G101" i="1"/>
  <c r="F101" i="1"/>
  <c r="E101" i="1"/>
  <c r="D101" i="1"/>
  <c r="A101" i="1"/>
  <c r="U100" i="1"/>
  <c r="M100" i="1"/>
  <c r="J100" i="1" s="1"/>
  <c r="G100" i="1"/>
  <c r="F100" i="1"/>
  <c r="E100" i="1"/>
  <c r="D100" i="1"/>
  <c r="A100" i="1"/>
  <c r="U99" i="1"/>
  <c r="M99" i="1"/>
  <c r="J99" i="1" s="1"/>
  <c r="G99" i="1"/>
  <c r="F99" i="1"/>
  <c r="E99" i="1"/>
  <c r="D99" i="1"/>
  <c r="A99" i="1"/>
  <c r="U98" i="1"/>
  <c r="M98" i="1"/>
  <c r="J98" i="1"/>
  <c r="G98" i="1"/>
  <c r="F98" i="1"/>
  <c r="E98" i="1"/>
  <c r="D98" i="1"/>
  <c r="A98" i="1"/>
  <c r="U97" i="1"/>
  <c r="J97" i="1" s="1"/>
  <c r="M97" i="1"/>
  <c r="G97" i="1"/>
  <c r="F97" i="1"/>
  <c r="E97" i="1"/>
  <c r="D97" i="1"/>
  <c r="A97" i="1"/>
  <c r="U96" i="1"/>
  <c r="M96" i="1"/>
  <c r="J96" i="1" s="1"/>
  <c r="G96" i="1"/>
  <c r="F96" i="1"/>
  <c r="E96" i="1"/>
  <c r="D96" i="1"/>
  <c r="A96" i="1"/>
  <c r="U95" i="1"/>
  <c r="M95" i="1"/>
  <c r="J95" i="1"/>
  <c r="G95" i="1"/>
  <c r="F95" i="1"/>
  <c r="E95" i="1"/>
  <c r="D95" i="1"/>
  <c r="U94" i="1"/>
  <c r="M94" i="1"/>
  <c r="J94" i="1" s="1"/>
  <c r="G94" i="1"/>
  <c r="F94" i="1"/>
  <c r="E94" i="1"/>
  <c r="D94" i="1"/>
  <c r="A94" i="1"/>
  <c r="U93" i="1"/>
  <c r="M93" i="1"/>
  <c r="J93" i="1" s="1"/>
  <c r="G93" i="1"/>
  <c r="F93" i="1"/>
  <c r="E93" i="1"/>
  <c r="D93" i="1"/>
  <c r="A93" i="1"/>
  <c r="U92" i="1"/>
  <c r="M92" i="1"/>
  <c r="J92" i="1"/>
  <c r="G92" i="1"/>
  <c r="F92" i="1"/>
  <c r="E92" i="1"/>
  <c r="D92" i="1"/>
  <c r="A92" i="1"/>
  <c r="U91" i="1"/>
  <c r="M91" i="1"/>
  <c r="J91" i="1" s="1"/>
  <c r="G91" i="1"/>
  <c r="F91" i="1"/>
  <c r="E91" i="1"/>
  <c r="D91" i="1"/>
  <c r="A91" i="1"/>
  <c r="U90" i="1"/>
  <c r="M90" i="1"/>
  <c r="J90" i="1" s="1"/>
  <c r="G90" i="1"/>
  <c r="F90" i="1"/>
  <c r="E90" i="1"/>
  <c r="D90" i="1"/>
  <c r="A90" i="1"/>
  <c r="U89" i="1"/>
  <c r="M89" i="1"/>
  <c r="J89" i="1"/>
  <c r="G89" i="1"/>
  <c r="F89" i="1"/>
  <c r="E89" i="1"/>
  <c r="D89" i="1"/>
  <c r="A89" i="1"/>
  <c r="U88" i="1"/>
  <c r="M88" i="1"/>
  <c r="J88" i="1" s="1"/>
  <c r="G88" i="1"/>
  <c r="F88" i="1"/>
  <c r="E88" i="1"/>
  <c r="D88" i="1"/>
  <c r="A88" i="1"/>
  <c r="U87" i="1"/>
  <c r="M87" i="1"/>
  <c r="J87" i="1" s="1"/>
  <c r="G87" i="1"/>
  <c r="F87" i="1"/>
  <c r="E87" i="1"/>
  <c r="D87" i="1"/>
  <c r="A87" i="1"/>
  <c r="U86" i="1"/>
  <c r="M86" i="1"/>
  <c r="J86" i="1"/>
  <c r="G86" i="1"/>
  <c r="F86" i="1"/>
  <c r="E86" i="1"/>
  <c r="D86" i="1"/>
  <c r="A86" i="1"/>
  <c r="U85" i="1"/>
  <c r="M85" i="1"/>
  <c r="J85" i="1" s="1"/>
  <c r="G85" i="1"/>
  <c r="F85" i="1"/>
  <c r="E85" i="1"/>
  <c r="D85" i="1"/>
  <c r="A85" i="1"/>
  <c r="U84" i="1"/>
  <c r="M84" i="1"/>
  <c r="J84" i="1" s="1"/>
  <c r="G84" i="1"/>
  <c r="F84" i="1"/>
  <c r="E84" i="1"/>
  <c r="D84" i="1"/>
  <c r="A84" i="1"/>
  <c r="U83" i="1"/>
  <c r="M83" i="1"/>
  <c r="J83" i="1"/>
  <c r="G83" i="1"/>
  <c r="F83" i="1"/>
  <c r="E83" i="1"/>
  <c r="D83" i="1"/>
  <c r="A83" i="1"/>
  <c r="U82" i="1"/>
  <c r="M82" i="1"/>
  <c r="J82" i="1" s="1"/>
  <c r="G82" i="1"/>
  <c r="F82" i="1"/>
  <c r="E82" i="1"/>
  <c r="D82" i="1"/>
  <c r="A82" i="1"/>
  <c r="U81" i="1"/>
  <c r="M81" i="1"/>
  <c r="J81" i="1" s="1"/>
  <c r="G81" i="1"/>
  <c r="F81" i="1"/>
  <c r="E81" i="1"/>
  <c r="D81" i="1"/>
  <c r="A81" i="1"/>
  <c r="U80" i="1"/>
  <c r="M80" i="1"/>
  <c r="J80" i="1"/>
  <c r="G80" i="1"/>
  <c r="F80" i="1"/>
  <c r="E80" i="1"/>
  <c r="D80" i="1"/>
  <c r="A80" i="1"/>
  <c r="U79" i="1"/>
  <c r="M79" i="1"/>
  <c r="J79" i="1" s="1"/>
  <c r="G79" i="1"/>
  <c r="F79" i="1"/>
  <c r="E79" i="1"/>
  <c r="D79" i="1"/>
  <c r="A79" i="1"/>
  <c r="U78" i="1"/>
  <c r="M78" i="1"/>
  <c r="J78" i="1" s="1"/>
  <c r="G78" i="1"/>
  <c r="F78" i="1"/>
  <c r="E78" i="1"/>
  <c r="D78" i="1"/>
  <c r="A78" i="1"/>
  <c r="U77" i="1"/>
  <c r="M77" i="1"/>
  <c r="J77" i="1"/>
  <c r="G77" i="1"/>
  <c r="F77" i="1"/>
  <c r="E77" i="1"/>
  <c r="D77" i="1"/>
  <c r="A77" i="1"/>
  <c r="U76" i="1"/>
  <c r="M76" i="1"/>
  <c r="J76" i="1" s="1"/>
  <c r="G76" i="1"/>
  <c r="F76" i="1"/>
  <c r="E76" i="1"/>
  <c r="D76" i="1"/>
  <c r="A76" i="1"/>
  <c r="U75" i="1"/>
  <c r="M75" i="1"/>
  <c r="J75" i="1" s="1"/>
  <c r="G75" i="1"/>
  <c r="F75" i="1"/>
  <c r="E75" i="1"/>
  <c r="D75" i="1"/>
  <c r="A75" i="1"/>
  <c r="U74" i="1"/>
  <c r="M74" i="1"/>
  <c r="J74" i="1"/>
  <c r="G74" i="1"/>
  <c r="F74" i="1"/>
  <c r="E74" i="1"/>
  <c r="D74" i="1"/>
  <c r="A74" i="1"/>
  <c r="U73" i="1"/>
  <c r="M73" i="1"/>
  <c r="J73" i="1" s="1"/>
  <c r="G73" i="1"/>
  <c r="F73" i="1"/>
  <c r="E73" i="1"/>
  <c r="D73" i="1"/>
  <c r="A73" i="1"/>
  <c r="U72" i="1"/>
  <c r="M72" i="1"/>
  <c r="J72" i="1" s="1"/>
  <c r="G72" i="1"/>
  <c r="F72" i="1"/>
  <c r="E72" i="1"/>
  <c r="D72" i="1"/>
  <c r="A72" i="1"/>
  <c r="U71" i="1"/>
  <c r="M71" i="1"/>
  <c r="J71" i="1"/>
  <c r="G71" i="1"/>
  <c r="F71" i="1"/>
  <c r="E71" i="1"/>
  <c r="D71" i="1"/>
  <c r="A71" i="1"/>
  <c r="U70" i="1"/>
  <c r="M70" i="1"/>
  <c r="J70" i="1" s="1"/>
  <c r="G70" i="1"/>
  <c r="F70" i="1"/>
  <c r="E70" i="1"/>
  <c r="D70" i="1"/>
  <c r="A70" i="1"/>
  <c r="U69" i="1"/>
  <c r="M69" i="1"/>
  <c r="J69" i="1" s="1"/>
  <c r="G69" i="1"/>
  <c r="F69" i="1"/>
  <c r="E69" i="1"/>
  <c r="D69" i="1"/>
  <c r="A69" i="1"/>
  <c r="U68" i="1"/>
  <c r="M68" i="1"/>
  <c r="J68" i="1"/>
  <c r="G68" i="1"/>
  <c r="F68" i="1"/>
  <c r="E68" i="1"/>
  <c r="D68" i="1"/>
  <c r="A68" i="1"/>
  <c r="U67" i="1"/>
  <c r="M67" i="1"/>
  <c r="J67" i="1" s="1"/>
  <c r="G67" i="1"/>
  <c r="F67" i="1"/>
  <c r="E67" i="1"/>
  <c r="D67" i="1"/>
  <c r="A67" i="1"/>
  <c r="U66" i="1"/>
  <c r="M66" i="1"/>
  <c r="J66" i="1" s="1"/>
  <c r="G66" i="1"/>
  <c r="F66" i="1"/>
  <c r="E66" i="1"/>
  <c r="D66" i="1"/>
  <c r="A66" i="1"/>
  <c r="U65" i="1"/>
  <c r="M65" i="1"/>
  <c r="J65" i="1"/>
  <c r="G65" i="1"/>
  <c r="F65" i="1"/>
  <c r="E65" i="1"/>
  <c r="D65" i="1"/>
  <c r="A65" i="1"/>
  <c r="U64" i="1"/>
  <c r="M64" i="1"/>
  <c r="J64" i="1" s="1"/>
  <c r="G64" i="1"/>
  <c r="F64" i="1"/>
  <c r="E64" i="1"/>
  <c r="D64" i="1"/>
  <c r="A64" i="1"/>
  <c r="U63" i="1"/>
  <c r="M63" i="1"/>
  <c r="J63" i="1" s="1"/>
  <c r="G63" i="1"/>
  <c r="F63" i="1"/>
  <c r="E63" i="1"/>
  <c r="D63" i="1"/>
  <c r="A63" i="1"/>
  <c r="U62" i="1"/>
  <c r="M62" i="1"/>
  <c r="J62" i="1"/>
  <c r="G62" i="1"/>
  <c r="F62" i="1"/>
  <c r="E62" i="1"/>
  <c r="D62" i="1"/>
  <c r="A62" i="1"/>
  <c r="U61" i="1"/>
  <c r="M61" i="1"/>
  <c r="J61" i="1" s="1"/>
  <c r="G61" i="1"/>
  <c r="F61" i="1"/>
  <c r="E61" i="1"/>
  <c r="D61" i="1"/>
  <c r="A61" i="1"/>
  <c r="U60" i="1"/>
  <c r="M60" i="1"/>
  <c r="J60" i="1" s="1"/>
  <c r="G60" i="1"/>
  <c r="F60" i="1"/>
  <c r="E60" i="1"/>
  <c r="D60" i="1"/>
  <c r="A60" i="1"/>
  <c r="U59" i="1"/>
  <c r="M59" i="1"/>
  <c r="J59" i="1"/>
  <c r="G59" i="1"/>
  <c r="F59" i="1"/>
  <c r="E59" i="1"/>
  <c r="D59" i="1"/>
  <c r="A59" i="1"/>
  <c r="U58" i="1"/>
  <c r="M58" i="1"/>
  <c r="J58" i="1" s="1"/>
  <c r="G58" i="1"/>
  <c r="F58" i="1"/>
  <c r="E58" i="1"/>
  <c r="D58" i="1"/>
  <c r="A58" i="1"/>
  <c r="U57" i="1"/>
  <c r="M57" i="1"/>
  <c r="J57" i="1" s="1"/>
  <c r="G57" i="1"/>
  <c r="F57" i="1"/>
  <c r="E57" i="1"/>
  <c r="D57" i="1"/>
  <c r="A57" i="1"/>
  <c r="U56" i="1"/>
  <c r="M56" i="1"/>
  <c r="J56" i="1"/>
  <c r="G56" i="1"/>
  <c r="F56" i="1"/>
  <c r="E56" i="1"/>
  <c r="D56" i="1"/>
  <c r="A56" i="1"/>
  <c r="U55" i="1"/>
  <c r="M55" i="1"/>
  <c r="J55" i="1" s="1"/>
  <c r="G55" i="1"/>
  <c r="F55" i="1"/>
  <c r="E55" i="1"/>
  <c r="D55" i="1"/>
  <c r="A55" i="1"/>
  <c r="U54" i="1"/>
  <c r="M54" i="1"/>
  <c r="J54" i="1" s="1"/>
  <c r="G54" i="1"/>
  <c r="F54" i="1"/>
  <c r="E54" i="1"/>
  <c r="D54" i="1"/>
  <c r="A54" i="1"/>
  <c r="U53" i="1"/>
  <c r="M53" i="1"/>
  <c r="J53" i="1"/>
  <c r="G53" i="1"/>
  <c r="F53" i="1"/>
  <c r="E53" i="1"/>
  <c r="D53" i="1"/>
  <c r="A53" i="1"/>
  <c r="U52" i="1"/>
  <c r="M52" i="1"/>
  <c r="J52" i="1" s="1"/>
  <c r="G52" i="1"/>
  <c r="F52" i="1"/>
  <c r="E52" i="1"/>
  <c r="D52" i="1"/>
  <c r="A52" i="1"/>
  <c r="U51" i="1"/>
  <c r="M51" i="1"/>
  <c r="J51" i="1" s="1"/>
  <c r="G51" i="1"/>
  <c r="F51" i="1"/>
  <c r="E51" i="1"/>
  <c r="D51" i="1"/>
  <c r="A51" i="1"/>
  <c r="U50" i="1"/>
  <c r="M50" i="1"/>
  <c r="J50" i="1"/>
  <c r="G50" i="1"/>
  <c r="F50" i="1"/>
  <c r="E50" i="1"/>
  <c r="D50" i="1"/>
  <c r="A50" i="1"/>
  <c r="U49" i="1"/>
  <c r="M49" i="1"/>
  <c r="J49" i="1" s="1"/>
  <c r="G49" i="1"/>
  <c r="F49" i="1"/>
  <c r="E49" i="1"/>
  <c r="D49" i="1"/>
  <c r="A49" i="1"/>
  <c r="U48" i="1"/>
  <c r="M48" i="1"/>
  <c r="J48" i="1" s="1"/>
  <c r="G48" i="1"/>
  <c r="F48" i="1"/>
  <c r="E48" i="1"/>
  <c r="D48" i="1"/>
  <c r="A48" i="1"/>
  <c r="U47" i="1"/>
  <c r="M47" i="1"/>
  <c r="J47" i="1"/>
  <c r="G47" i="1"/>
  <c r="F47" i="1"/>
  <c r="E47" i="1"/>
  <c r="D47" i="1"/>
  <c r="A47" i="1"/>
  <c r="U46" i="1"/>
  <c r="M46" i="1"/>
  <c r="J46" i="1" s="1"/>
  <c r="G46" i="1"/>
  <c r="F46" i="1"/>
  <c r="E46" i="1"/>
  <c r="D46" i="1"/>
  <c r="A46" i="1"/>
  <c r="U45" i="1"/>
  <c r="M45" i="1"/>
  <c r="J45" i="1" s="1"/>
  <c r="G45" i="1"/>
  <c r="F45" i="1"/>
  <c r="E45" i="1"/>
  <c r="D45" i="1"/>
  <c r="A45" i="1"/>
  <c r="U44" i="1"/>
  <c r="M44" i="1"/>
  <c r="J44" i="1"/>
  <c r="G44" i="1"/>
  <c r="F44" i="1"/>
  <c r="E44" i="1"/>
  <c r="D44" i="1"/>
  <c r="A44" i="1"/>
  <c r="U43" i="1"/>
  <c r="M43" i="1"/>
  <c r="J43" i="1" s="1"/>
  <c r="G43" i="1"/>
  <c r="F43" i="1"/>
  <c r="E43" i="1"/>
  <c r="D43" i="1"/>
  <c r="A43" i="1"/>
  <c r="U42" i="1"/>
  <c r="M42" i="1"/>
  <c r="J42" i="1" s="1"/>
  <c r="G42" i="1"/>
  <c r="F42" i="1"/>
  <c r="E42" i="1"/>
  <c r="D42" i="1"/>
  <c r="A42" i="1"/>
  <c r="U41" i="1"/>
  <c r="M41" i="1"/>
  <c r="J41" i="1"/>
  <c r="G41" i="1"/>
  <c r="F41" i="1"/>
  <c r="E41" i="1"/>
  <c r="D41" i="1"/>
  <c r="A41" i="1"/>
  <c r="U40" i="1"/>
  <c r="M40" i="1"/>
  <c r="J40" i="1" s="1"/>
  <c r="G40" i="1"/>
  <c r="F40" i="1"/>
  <c r="E40" i="1"/>
  <c r="D40" i="1"/>
  <c r="A40" i="1"/>
  <c r="U39" i="1"/>
  <c r="M39" i="1"/>
  <c r="J39" i="1" s="1"/>
  <c r="G39" i="1"/>
  <c r="F39" i="1"/>
  <c r="E39" i="1"/>
  <c r="D39" i="1"/>
  <c r="A39" i="1"/>
  <c r="U38" i="1"/>
  <c r="M38" i="1"/>
  <c r="J38" i="1"/>
  <c r="G38" i="1"/>
  <c r="F38" i="1"/>
  <c r="E38" i="1"/>
  <c r="D38" i="1"/>
  <c r="A38" i="1"/>
  <c r="U37" i="1"/>
  <c r="M37" i="1"/>
  <c r="J37" i="1" s="1"/>
  <c r="G37" i="1"/>
  <c r="F37" i="1"/>
  <c r="E37" i="1"/>
  <c r="D37" i="1"/>
  <c r="A37" i="1"/>
  <c r="U36" i="1"/>
  <c r="M36" i="1"/>
  <c r="J36" i="1" s="1"/>
  <c r="G36" i="1"/>
  <c r="F36" i="1"/>
  <c r="E36" i="1"/>
  <c r="D36" i="1"/>
  <c r="A36" i="1"/>
  <c r="U35" i="1"/>
  <c r="M35" i="1"/>
  <c r="J35" i="1"/>
  <c r="G35" i="1"/>
  <c r="F35" i="1"/>
  <c r="E35" i="1"/>
  <c r="D35" i="1"/>
  <c r="A35" i="1"/>
  <c r="U34" i="1"/>
  <c r="M34" i="1"/>
  <c r="J34" i="1" s="1"/>
  <c r="G34" i="1"/>
  <c r="F34" i="1"/>
  <c r="E34" i="1"/>
  <c r="D34" i="1"/>
  <c r="A34" i="1"/>
  <c r="U33" i="1"/>
  <c r="M33" i="1"/>
  <c r="J33" i="1" s="1"/>
  <c r="G33" i="1"/>
  <c r="F33" i="1"/>
  <c r="E33" i="1"/>
  <c r="D33" i="1"/>
  <c r="A33" i="1"/>
  <c r="U32" i="1"/>
  <c r="M32" i="1"/>
  <c r="J32" i="1"/>
  <c r="G32" i="1"/>
  <c r="F32" i="1"/>
  <c r="E32" i="1"/>
  <c r="D32" i="1"/>
  <c r="A32" i="1"/>
  <c r="U31" i="1"/>
  <c r="M31" i="1"/>
  <c r="J31" i="1" s="1"/>
  <c r="G31" i="1"/>
  <c r="F31" i="1"/>
  <c r="E31" i="1"/>
  <c r="D31" i="1"/>
  <c r="A31" i="1"/>
  <c r="U30" i="1"/>
  <c r="M30" i="1"/>
  <c r="J30" i="1" s="1"/>
  <c r="G30" i="1"/>
  <c r="F30" i="1"/>
  <c r="E30" i="1"/>
  <c r="D30" i="1"/>
  <c r="A30" i="1"/>
  <c r="U29" i="1"/>
  <c r="M29" i="1"/>
  <c r="J29" i="1"/>
  <c r="G29" i="1"/>
  <c r="F29" i="1"/>
  <c r="E29" i="1"/>
  <c r="D29" i="1"/>
  <c r="A29" i="1"/>
  <c r="U28" i="1"/>
  <c r="M28" i="1"/>
  <c r="J28" i="1" s="1"/>
  <c r="G28" i="1"/>
  <c r="F28" i="1"/>
  <c r="E28" i="1"/>
  <c r="D28" i="1"/>
  <c r="A28" i="1"/>
  <c r="U27" i="1"/>
  <c r="M27" i="1"/>
  <c r="J27" i="1" s="1"/>
  <c r="G27" i="1"/>
  <c r="F27" i="1"/>
  <c r="E27" i="1"/>
  <c r="D27" i="1"/>
  <c r="A27" i="1"/>
  <c r="U26" i="1"/>
  <c r="M26" i="1"/>
  <c r="J26" i="1"/>
  <c r="G26" i="1"/>
  <c r="F26" i="1"/>
  <c r="E26" i="1"/>
  <c r="D26" i="1"/>
  <c r="A26" i="1"/>
  <c r="U25" i="1"/>
  <c r="M25" i="1"/>
  <c r="J25" i="1" s="1"/>
  <c r="G25" i="1"/>
  <c r="F25" i="1"/>
  <c r="E25" i="1"/>
  <c r="D25" i="1"/>
  <c r="A25" i="1"/>
  <c r="U24" i="1"/>
  <c r="M24" i="1"/>
  <c r="J24" i="1" s="1"/>
  <c r="G24" i="1"/>
  <c r="F24" i="1"/>
  <c r="E24" i="1"/>
  <c r="D24" i="1"/>
  <c r="A24" i="1"/>
  <c r="U23" i="1"/>
  <c r="M23" i="1"/>
  <c r="J23" i="1"/>
  <c r="G23" i="1"/>
  <c r="F23" i="1"/>
  <c r="E23" i="1"/>
  <c r="D23" i="1"/>
  <c r="A23" i="1"/>
  <c r="U22" i="1"/>
  <c r="M22" i="1"/>
  <c r="J22" i="1" s="1"/>
  <c r="G22" i="1"/>
  <c r="F22" i="1"/>
  <c r="E22" i="1"/>
  <c r="D22" i="1"/>
  <c r="A22" i="1"/>
  <c r="U21" i="1"/>
  <c r="M21" i="1"/>
  <c r="J21" i="1" s="1"/>
  <c r="G21" i="1"/>
  <c r="F21" i="1"/>
  <c r="E21" i="1"/>
  <c r="D21" i="1"/>
  <c r="A21" i="1"/>
  <c r="U20" i="1"/>
  <c r="M20" i="1"/>
  <c r="J20" i="1"/>
  <c r="G20" i="1"/>
  <c r="F20" i="1"/>
  <c r="E20" i="1"/>
  <c r="D20" i="1"/>
  <c r="A20" i="1"/>
  <c r="U19" i="1"/>
  <c r="M19" i="1"/>
  <c r="J19" i="1" s="1"/>
  <c r="G19" i="1"/>
  <c r="F19" i="1"/>
  <c r="E19" i="1"/>
  <c r="D19" i="1"/>
  <c r="A19" i="1"/>
  <c r="U18" i="1"/>
  <c r="M18" i="1"/>
  <c r="J18" i="1"/>
  <c r="G18" i="1"/>
  <c r="F18" i="1"/>
  <c r="E18" i="1"/>
  <c r="D18" i="1"/>
  <c r="A18" i="1"/>
  <c r="U17" i="1"/>
  <c r="M17" i="1"/>
  <c r="J17" i="1"/>
  <c r="G17" i="1"/>
  <c r="F17" i="1"/>
  <c r="E17" i="1"/>
  <c r="D17" i="1"/>
  <c r="A17" i="1"/>
  <c r="U16" i="1"/>
  <c r="M16" i="1"/>
  <c r="J16" i="1" s="1"/>
  <c r="G16" i="1"/>
  <c r="F16" i="1"/>
  <c r="E16" i="1"/>
  <c r="D16" i="1"/>
  <c r="A16" i="1"/>
  <c r="U15" i="1"/>
  <c r="M15" i="1"/>
  <c r="J15" i="1"/>
  <c r="G15" i="1"/>
  <c r="F15" i="1"/>
  <c r="E15" i="1"/>
  <c r="D15" i="1"/>
  <c r="A15" i="1"/>
  <c r="U14" i="1"/>
  <c r="M14" i="1"/>
  <c r="J14" i="1"/>
  <c r="G14" i="1"/>
  <c r="F14" i="1"/>
  <c r="E14" i="1"/>
  <c r="D14" i="1"/>
  <c r="A14" i="1"/>
  <c r="U13" i="1"/>
  <c r="M13" i="1"/>
  <c r="J13" i="1" s="1"/>
  <c r="G13" i="1"/>
  <c r="F13" i="1"/>
  <c r="E13" i="1"/>
  <c r="D13" i="1"/>
  <c r="A13" i="1"/>
  <c r="U12" i="1"/>
  <c r="M12" i="1"/>
  <c r="J12" i="1"/>
  <c r="G12" i="1"/>
  <c r="F12" i="1"/>
  <c r="E12" i="1"/>
  <c r="D12" i="1"/>
  <c r="A12" i="1"/>
  <c r="U11" i="1"/>
  <c r="M11" i="1"/>
  <c r="J11" i="1"/>
  <c r="G11" i="1"/>
  <c r="F11" i="1"/>
  <c r="E11" i="1"/>
  <c r="D11" i="1"/>
  <c r="A11" i="1"/>
  <c r="U10" i="1"/>
  <c r="M10" i="1"/>
  <c r="J10" i="1" s="1"/>
  <c r="G10" i="1"/>
  <c r="F10" i="1"/>
  <c r="E10" i="1"/>
  <c r="D10" i="1"/>
  <c r="A10" i="1"/>
  <c r="U9" i="1"/>
  <c r="M9" i="1"/>
  <c r="J9" i="1"/>
  <c r="G9" i="1"/>
  <c r="F9" i="1"/>
  <c r="E9" i="1"/>
  <c r="D9" i="1"/>
  <c r="A9" i="1"/>
  <c r="U8" i="1"/>
  <c r="M8" i="1"/>
  <c r="J8" i="1"/>
  <c r="G8" i="1"/>
  <c r="F8" i="1"/>
  <c r="E8" i="1"/>
  <c r="D8" i="1"/>
  <c r="A8" i="1"/>
  <c r="U7" i="1"/>
  <c r="M7" i="1"/>
  <c r="J7" i="1" s="1"/>
  <c r="G7" i="1"/>
  <c r="F7" i="1"/>
  <c r="E7" i="1"/>
  <c r="D7" i="1"/>
  <c r="A7" i="1"/>
  <c r="U6" i="1"/>
  <c r="M6" i="1"/>
  <c r="J6" i="1"/>
  <c r="G6" i="1"/>
  <c r="F6" i="1"/>
  <c r="E6" i="1"/>
  <c r="D6" i="1"/>
  <c r="A6" i="1"/>
  <c r="U5" i="1"/>
  <c r="M5" i="1"/>
  <c r="J5" i="1"/>
  <c r="G5" i="1"/>
  <c r="F5" i="1"/>
  <c r="E5" i="1"/>
  <c r="D5" i="1"/>
  <c r="A5" i="1"/>
  <c r="U4" i="1"/>
  <c r="M4" i="1"/>
  <c r="J4" i="1" s="1"/>
  <c r="G4" i="1"/>
  <c r="F4" i="1"/>
  <c r="E4" i="1"/>
  <c r="D4" i="1"/>
  <c r="A4" i="1"/>
</calcChain>
</file>

<file path=xl/sharedStrings.xml><?xml version="1.0" encoding="utf-8"?>
<sst xmlns="http://schemas.openxmlformats.org/spreadsheetml/2006/main" count="1396" uniqueCount="756">
  <si>
    <t>No of installments Due</t>
  </si>
  <si>
    <t>SL NO</t>
  </si>
  <si>
    <t>Admsn No</t>
  </si>
  <si>
    <t>Name</t>
  </si>
  <si>
    <t>Name of Father</t>
  </si>
  <si>
    <t>ADDRESS</t>
  </si>
  <si>
    <t>DISTRICT</t>
  </si>
  <si>
    <t>PHONE</t>
  </si>
  <si>
    <t>Class</t>
  </si>
  <si>
    <t>Phone No</t>
  </si>
  <si>
    <t>Current Due</t>
  </si>
  <si>
    <t>Prev Balance</t>
  </si>
  <si>
    <t>Sem Fee (odd)</t>
  </si>
  <si>
    <t>Monthly Installment</t>
  </si>
  <si>
    <t>JUNE</t>
  </si>
  <si>
    <t>JuneReciept</t>
  </si>
  <si>
    <t>JULY</t>
  </si>
  <si>
    <t>AUG</t>
  </si>
  <si>
    <t>SEP</t>
  </si>
  <si>
    <t>OCT</t>
  </si>
  <si>
    <t>NOV</t>
  </si>
  <si>
    <t>Paid</t>
  </si>
  <si>
    <t>Prev Balance 2</t>
  </si>
  <si>
    <t>Sem Fee (Even)</t>
  </si>
  <si>
    <t>DEC</t>
  </si>
  <si>
    <t>Jan</t>
  </si>
  <si>
    <t>FEB</t>
  </si>
  <si>
    <t>Bank / Cash</t>
  </si>
  <si>
    <t>MAR</t>
  </si>
  <si>
    <t>Bank / Cash 2</t>
  </si>
  <si>
    <t>APR</t>
  </si>
  <si>
    <t>Bank / Cash 3</t>
  </si>
  <si>
    <t>May</t>
  </si>
  <si>
    <t>Recieved</t>
  </si>
  <si>
    <t>Balance2</t>
  </si>
  <si>
    <t>ABID ISMAIL</t>
  </si>
  <si>
    <t>ILP 2 Commerce</t>
  </si>
  <si>
    <t>AFSAL AMEEN PV</t>
  </si>
  <si>
    <t>FIRDOUS MA</t>
  </si>
  <si>
    <t xml:space="preserve">HAFIZ MUHAMMED </t>
  </si>
  <si>
    <t>HASSAN NASRULLA OTTAKATHU</t>
  </si>
  <si>
    <t>MISHAB IBNU ABDUL LATHEEF</t>
  </si>
  <si>
    <t>MISHAL JANIB CH</t>
  </si>
  <si>
    <t>MUHAMMAD RAIHAN C</t>
  </si>
  <si>
    <t>MUHAMMAD SALAHUDHEEN</t>
  </si>
  <si>
    <t>MUHAMMED BILAL CT</t>
  </si>
  <si>
    <t>MUHAMMED FARIS M</t>
  </si>
  <si>
    <t>MUHAMMED HANAN AK</t>
  </si>
  <si>
    <t>MUHAMMED IRFAN KA</t>
  </si>
  <si>
    <t>MUHAMMED ISHAL C</t>
  </si>
  <si>
    <t>MUHAMMED LAZIM M</t>
  </si>
  <si>
    <t>MUHAMMED MINHAJ BIN SIRAJ</t>
  </si>
  <si>
    <t>MUHAMMED SAEEDH VS</t>
  </si>
  <si>
    <t>MUHAMMED SINAN KA</t>
  </si>
  <si>
    <t>MUHSMMED SHAHID KB</t>
  </si>
  <si>
    <t>NIHAD KP</t>
  </si>
  <si>
    <t>RASHIN MUHAMMED KT</t>
  </si>
  <si>
    <t>SAFWAN</t>
  </si>
  <si>
    <t>AHMED SANHEER MTP</t>
  </si>
  <si>
    <t>ILP 2 Humanities</t>
  </si>
  <si>
    <t>ANZAM MIRZAD</t>
  </si>
  <si>
    <t>ASHHAD M</t>
  </si>
  <si>
    <t>HASSAN S</t>
  </si>
  <si>
    <t>MUHAMMAD FAROOK S</t>
  </si>
  <si>
    <t>MUHAMMAD JUBAIR PA</t>
  </si>
  <si>
    <t>MUHAMMED ASIF M</t>
  </si>
  <si>
    <t>MUHAMMED BILAL</t>
  </si>
  <si>
    <t>MUHAMMED JASIL K</t>
  </si>
  <si>
    <t>MUHAMMED MUKHTHAR CT</t>
  </si>
  <si>
    <t>MUHAMMED NAZAL</t>
  </si>
  <si>
    <t>MUHAMMED RAKEEB</t>
  </si>
  <si>
    <t>MUHAMMED RAYEES AA</t>
  </si>
  <si>
    <t>MUHAMMED RAZI THANGAL BK</t>
  </si>
  <si>
    <t>MUHAMMED SAMIL VR</t>
  </si>
  <si>
    <t>MUHAMMED SINAN A</t>
  </si>
  <si>
    <t xml:space="preserve">MUHAMMED YASEEN </t>
  </si>
  <si>
    <t>MUHAMMED YASEER</t>
  </si>
  <si>
    <t>MURSHID KV</t>
  </si>
  <si>
    <t>NIHAL MC</t>
  </si>
  <si>
    <t>OMAR MUKHTHAR</t>
  </si>
  <si>
    <t>UMAR MUKHTHAR</t>
  </si>
  <si>
    <t xml:space="preserve">AHAMMED YASEEN  </t>
  </si>
  <si>
    <t>ILP 3 Commerce</t>
  </si>
  <si>
    <t>AMEEN KT</t>
  </si>
  <si>
    <t>ANSHAD N</t>
  </si>
  <si>
    <t>FATHAHUDEEN S</t>
  </si>
  <si>
    <t>MAJID MAHABOOB KP</t>
  </si>
  <si>
    <t>MISAB B</t>
  </si>
  <si>
    <t>MUHAMMED ADNAN MK</t>
  </si>
  <si>
    <t>MUHAMMED MINHAL K</t>
  </si>
  <si>
    <t>MUHAMMED RANTHEESI PE</t>
  </si>
  <si>
    <t>MUHAMMED SINAN K</t>
  </si>
  <si>
    <t>MUHAMMED SINAN P -MLP</t>
  </si>
  <si>
    <t xml:space="preserve">MUHAMMED THANVEER </t>
  </si>
  <si>
    <t>MUHAMMED THWAYYIB AMEEN</t>
  </si>
  <si>
    <t>MUHAMMED YASEEN CM</t>
  </si>
  <si>
    <t>NAZARULLAH S</t>
  </si>
  <si>
    <t>NIHAL P</t>
  </si>
  <si>
    <t>SALMAN FARISI</t>
  </si>
  <si>
    <t>SHAMEEM KM</t>
  </si>
  <si>
    <t>ADHIL RAHMAN MK</t>
  </si>
  <si>
    <t>ILP 3 Humanities</t>
  </si>
  <si>
    <t>ALI SYED BS</t>
  </si>
  <si>
    <t>AMEEN MUHAMMED VN</t>
  </si>
  <si>
    <t>HAADI AFZEL</t>
  </si>
  <si>
    <t>HAROON M</t>
  </si>
  <si>
    <t>MOHAMMED ADNAN KV</t>
  </si>
  <si>
    <t>MOHAMMED H</t>
  </si>
  <si>
    <t>MOHAMMED WAHAB THAYYIL</t>
  </si>
  <si>
    <t>MUHAMMED RAHAN</t>
  </si>
  <si>
    <t>MUHAMMED RIZWAN MA</t>
  </si>
  <si>
    <t>MUHAMMED SHAHID K</t>
  </si>
  <si>
    <t>MUHAMMED SHAMIL P</t>
  </si>
  <si>
    <t>MUHAMMED THOUFEEK MR</t>
  </si>
  <si>
    <t>MUHAMMED YASEEN SAKKIR</t>
  </si>
  <si>
    <t>MURSHID VT</t>
  </si>
  <si>
    <t>NIZAMUDHEEN PK</t>
  </si>
  <si>
    <t>AHSAS CP</t>
  </si>
  <si>
    <t>ILP 4</t>
  </si>
  <si>
    <t>ANAS S</t>
  </si>
  <si>
    <t>ASHIK MUHAMMED N</t>
  </si>
  <si>
    <t>HABEEBUL RAHMAN</t>
  </si>
  <si>
    <t>LIYAQUATH ALI</t>
  </si>
  <si>
    <t>MISHAB</t>
  </si>
  <si>
    <t>MUHAMMED ABRAR K</t>
  </si>
  <si>
    <t>MUHAMMED FASAL P</t>
  </si>
  <si>
    <t>MUHAMMED IRFAN</t>
  </si>
  <si>
    <t>MUHAMMED RAYYAN AA</t>
  </si>
  <si>
    <t>MUHAMMED SAYYAM PP</t>
  </si>
  <si>
    <t>MUHAMMED SHINAS K</t>
  </si>
  <si>
    <t xml:space="preserve">  </t>
  </si>
  <si>
    <t>MUHAMMED SINAN VK</t>
  </si>
  <si>
    <t>NABEEL N</t>
  </si>
  <si>
    <t>RAZI HANAN CK</t>
  </si>
  <si>
    <t>SABEER AHAMMED</t>
  </si>
  <si>
    <t>SALMAN FARIS M</t>
  </si>
  <si>
    <t xml:space="preserve">ADHIL AHAMMED 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</si>
  <si>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</si>
  <si>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AMAL THAHSEEN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</si>
  <si>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</si>
  <si>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AMALTHAHASIN CH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</si>
  <si>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</si>
  <si>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HADIF V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</si>
  <si>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</si>
  <si>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MISBAHUL HAQUE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</si>
  <si>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</si>
  <si>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MUHAMMED ALTHAF KODANJERY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</si>
  <si>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</si>
  <si>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MUHAMMED FAHAD NN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</si>
  <si>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</si>
  <si>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MUHAMMED JASEEL  P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</si>
  <si>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</si>
  <si>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 xml:space="preserve">MUHAMMED NASIF 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</si>
  <si>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</si>
  <si>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 xml:space="preserve">MUHAMMED SWALAH KURIKKAL 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</si>
  <si>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</si>
  <si>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MUHSIN VT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</si>
  <si>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</si>
  <si>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NIHAL FAROOKH KF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</si>
  <si>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</si>
  <si>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SHADHIN SHAN T</t>
  </si>
  <si>
    <r>
      <rPr>
        <sz val="14"/>
        <color theme="1"/>
        <rFont val="Times New Roman"/>
      </rPr>
      <t xml:space="preserve">ILP 5 </t>
    </r>
    <r>
      <rPr>
        <sz val="14"/>
        <color theme="1"/>
        <rFont val="Times New Roman"/>
      </rPr>
      <t>B.Com</t>
    </r>
  </si>
  <si>
    <t>FARSEEN AHAMMED EP</t>
  </si>
  <si>
    <t>ILP 5 BA Arabic</t>
  </si>
  <si>
    <t>FAYAS V</t>
  </si>
  <si>
    <t>MUHAMMED RABEEH C</t>
  </si>
  <si>
    <t>MUHAMMED RAYYAN N (ARB)</t>
  </si>
  <si>
    <t>MUHAMMED SHIHAN C</t>
  </si>
  <si>
    <t xml:space="preserve">WASIQ ISLAM </t>
  </si>
  <si>
    <t>ALTHAF VAHAB VA (SOC)</t>
  </si>
  <si>
    <t>ILP 5 BA Soc</t>
  </si>
  <si>
    <t>MISSAB S</t>
  </si>
  <si>
    <t>MUHAMMED ASLAH K</t>
  </si>
  <si>
    <t>MUHAMMED NIYAS C</t>
  </si>
  <si>
    <t>RABEEH KA</t>
  </si>
  <si>
    <t>SAJAD M</t>
  </si>
  <si>
    <t>SALMANUL FARIS VP</t>
  </si>
  <si>
    <t>MUHAMMED SINAN OP</t>
  </si>
  <si>
    <t>YASIN HUMRAS</t>
  </si>
  <si>
    <t>AHAMMAD YASEEN N</t>
  </si>
  <si>
    <t>ILP 5 BCA</t>
  </si>
  <si>
    <t>AHAMMAD YASEEN S</t>
  </si>
  <si>
    <t>MUHAMMED AMJAD</t>
  </si>
  <si>
    <t>MUHAMMED ASAD N</t>
  </si>
  <si>
    <t>MUHAMMED ATHIL N A</t>
  </si>
  <si>
    <t>MUHAMMED SHA N</t>
  </si>
  <si>
    <t>SAMEEL AHAMMED I</t>
  </si>
  <si>
    <t>AALIYA PJ</t>
  </si>
  <si>
    <t>ILS 2 SOC</t>
  </si>
  <si>
    <t>FATHIMA JASNA</t>
  </si>
  <si>
    <t>FATHIMA SHADIYA M</t>
  </si>
  <si>
    <t>HAJARA T</t>
  </si>
  <si>
    <t>HUZNUL FATHIMA BAKER</t>
  </si>
  <si>
    <t>JALIYA P</t>
  </si>
  <si>
    <t>NADA FATHIMA</t>
  </si>
  <si>
    <t>RINSHA JEBIN</t>
  </si>
  <si>
    <t>ROUDHA SULTHANA SUBAIR</t>
  </si>
  <si>
    <t>SHIFA AM</t>
  </si>
  <si>
    <t>UMMU AMMARA V</t>
  </si>
  <si>
    <t xml:space="preserve">AAYISHA SHAHUL </t>
  </si>
  <si>
    <t>ILS 3</t>
  </si>
  <si>
    <t>AMEENA FATHIMA</t>
  </si>
  <si>
    <t>AYISHA SULTHANA VM</t>
  </si>
  <si>
    <t>FARHANA FATHIMA M</t>
  </si>
  <si>
    <t>FATHIMA CA</t>
  </si>
  <si>
    <t>FATHIMA JAHAN</t>
  </si>
  <si>
    <t>FATHIMA SAHARA</t>
  </si>
  <si>
    <t>FATHIMATH HANNA</t>
  </si>
  <si>
    <t>FATHIMATH SANAH KT</t>
  </si>
  <si>
    <t>FIDA NK</t>
  </si>
  <si>
    <t>FIDA SHERIN KM</t>
  </si>
  <si>
    <t>HAFSANA AN</t>
  </si>
  <si>
    <t>HIBA FATHIMA N</t>
  </si>
  <si>
    <t>HIBA RIZVANA BAKKER</t>
  </si>
  <si>
    <t>MUFEETHA SHERIN</t>
  </si>
  <si>
    <t>NOUREEN</t>
  </si>
  <si>
    <t>SAJILA SHERIN</t>
  </si>
  <si>
    <t>SHAMILA FATHIMA  CT</t>
  </si>
  <si>
    <t>THAHLIYA YASMIN M</t>
  </si>
  <si>
    <t>U NISHANA SHERIN</t>
  </si>
  <si>
    <t xml:space="preserve">AMEEN ABOOBEKER T </t>
  </si>
  <si>
    <t>X ALUMNI 2025</t>
  </si>
  <si>
    <t>DILSHAD K</t>
  </si>
  <si>
    <t>HUDAIF AHAMMED K (BES)</t>
  </si>
  <si>
    <t>MOHAMMED SALMAN K (B.COM)</t>
  </si>
  <si>
    <t>MUHAMMED  JASAR P</t>
  </si>
  <si>
    <t>MUHAMMED ALI JAWAHAR KK  (BPE)</t>
  </si>
  <si>
    <t>MUHAMMED NIHAD PK</t>
  </si>
  <si>
    <t>MUHAMMED SALMANUL FARIS KP</t>
  </si>
  <si>
    <t>MUHAMMED YASEEN UK</t>
  </si>
  <si>
    <t>NOUFIN SIFAN V</t>
  </si>
  <si>
    <t>SALAHUDDEN AYYOOBI</t>
  </si>
  <si>
    <t>ABDUL SATHAR</t>
  </si>
  <si>
    <t>X ALUMNI 2026</t>
  </si>
  <si>
    <t>LUKMANUL HAKKIM T</t>
  </si>
  <si>
    <t>MOHAMMED SHAMEEL H</t>
  </si>
  <si>
    <t xml:space="preserve">MOHAMMED SUFIYAN </t>
  </si>
  <si>
    <t xml:space="preserve">MUHAMMED HASEEN </t>
  </si>
  <si>
    <t>MUHAMMED SHABEEH T</t>
  </si>
  <si>
    <t>MUHAMMED THANVEER M</t>
  </si>
  <si>
    <t>MURSHID JI</t>
  </si>
  <si>
    <t>Total</t>
  </si>
  <si>
    <t>Per month</t>
  </si>
  <si>
    <t>No of Students does not pay for the month</t>
  </si>
  <si>
    <t>Greenvalley Academy</t>
  </si>
  <si>
    <t>Semester Fee Remittance Details 2026-27</t>
  </si>
  <si>
    <t>Name of the Student</t>
  </si>
  <si>
    <t>Admission No</t>
  </si>
  <si>
    <t>Name of Parent</t>
  </si>
  <si>
    <t>District</t>
  </si>
  <si>
    <t>Address</t>
  </si>
  <si>
    <t>Month</t>
  </si>
  <si>
    <t>Amount Recieved</t>
  </si>
  <si>
    <t>Reciept No</t>
  </si>
  <si>
    <t>Outstanding Amount Due on :</t>
  </si>
  <si>
    <t>sl no</t>
  </si>
  <si>
    <t>name of student</t>
  </si>
  <si>
    <t>Name of Guardian</t>
  </si>
  <si>
    <t>district</t>
  </si>
  <si>
    <t/>
  </si>
  <si>
    <t>ILS 2</t>
  </si>
  <si>
    <t>BIJU S P</t>
  </si>
  <si>
    <t>Gandhinagar junction chullimanoor PO7736292196</t>
  </si>
  <si>
    <t>Thiruvanadapuram</t>
  </si>
  <si>
    <t>7736292196</t>
  </si>
  <si>
    <t>ILP 5</t>
  </si>
  <si>
    <t>Elippakulam 9995512047</t>
  </si>
  <si>
    <t>Alappuzha</t>
  </si>
  <si>
    <t>9995512047</t>
  </si>
  <si>
    <t>C1</t>
  </si>
  <si>
    <t>V.U ISMAYEL</t>
  </si>
  <si>
    <t>Darul Aman (H),  Vanchimala PO,  Vanchimala (686508) , Elikkulam Panchayath</t>
  </si>
  <si>
    <t xml:space="preserve">Kottayam </t>
  </si>
  <si>
    <t>NIZZAR PH</t>
  </si>
  <si>
    <t>Erumely 8078866268</t>
  </si>
  <si>
    <t>Kottayam</t>
  </si>
  <si>
    <t>8078866268</t>
  </si>
  <si>
    <t>H2</t>
  </si>
  <si>
    <t>ABDUL RAZAK MK</t>
  </si>
  <si>
    <t>MANGALOTTKUNNUMMAL ELETTIL ELETTIL PO</t>
  </si>
  <si>
    <t>Kozhikkode</t>
  </si>
  <si>
    <t>9745387167</t>
  </si>
  <si>
    <t>ALI AKBAR P.V</t>
  </si>
  <si>
    <t>Pallikaravalappil,  Wandoor, 8547225367 ,</t>
  </si>
  <si>
    <t xml:space="preserve">Malappuram </t>
  </si>
  <si>
    <t>NASIR KHALID</t>
  </si>
  <si>
    <t>Mannoorkoonam 9567277882</t>
  </si>
  <si>
    <t>Thiruvanathapuram</t>
  </si>
  <si>
    <t>9567277882</t>
  </si>
  <si>
    <t>SAJEEV B</t>
  </si>
  <si>
    <t>Vakkam 9567572262</t>
  </si>
  <si>
    <t>9567572262</t>
  </si>
  <si>
    <t>C2</t>
  </si>
  <si>
    <t>ABDUL NAUSHAD T A</t>
  </si>
  <si>
    <t>Thundiyil  Murickassery  Murickassery PO</t>
  </si>
  <si>
    <t>Idukki</t>
  </si>
  <si>
    <t>9744376726</t>
  </si>
  <si>
    <t>H1</t>
  </si>
  <si>
    <t>ILP 3</t>
  </si>
  <si>
    <t>ASHRAF CP</t>
  </si>
  <si>
    <t>Malappuram, 9995505516</t>
  </si>
  <si>
    <t>Malappuram</t>
  </si>
  <si>
    <t>AJUMAL VY</t>
  </si>
  <si>
    <t>YOONUZ VA</t>
  </si>
  <si>
    <t>Padinjare vathuthara niranam north po thiruvalla9656401054</t>
  </si>
  <si>
    <t>Pathanamthitta</t>
  </si>
  <si>
    <t>9656401054</t>
  </si>
  <si>
    <t>BIJU S</t>
  </si>
  <si>
    <t>Kizakkumkara Veedu Neetani Poonkavanam Cullimanoor P O Anad PO 7902864924</t>
  </si>
  <si>
    <t>7902864924</t>
  </si>
  <si>
    <t>VAHAB A</t>
  </si>
  <si>
    <t>Aluva9544352760</t>
  </si>
  <si>
    <t>Ernakulam</t>
  </si>
  <si>
    <t>9544352760</t>
  </si>
  <si>
    <t>RAHEEM MP</t>
  </si>
  <si>
    <t>Panamaram8281276160</t>
  </si>
  <si>
    <t>Wayanad</t>
  </si>
  <si>
    <t>8281276160</t>
  </si>
  <si>
    <t>MUHAMMED SHAFEEQUE</t>
  </si>
  <si>
    <t>Koyathodukayil housekodakkad
Po676319</t>
  </si>
  <si>
    <t>9544693218</t>
  </si>
  <si>
    <t>NISSAMUDEEN V.I</t>
  </si>
  <si>
    <t>Varikkatu(H) chennappady (po) kottayam9605438110</t>
  </si>
  <si>
    <t>9605438110</t>
  </si>
  <si>
    <t>MUEENUDDEEN</t>
  </si>
  <si>
    <t xml:space="preserve">Cheriya Parambath Muthuvadathoor PO Kozhikode </t>
  </si>
  <si>
    <t>9072300000</t>
  </si>
  <si>
    <t>HAFSATH.K</t>
  </si>
  <si>
    <t>Nelliyali(h) chamravettom  chamravettom p.o tirurmalappuram</t>
  </si>
  <si>
    <t>7034768747</t>
  </si>
  <si>
    <t>SAIFUDHEEN TA</t>
  </si>
  <si>
    <t>Thathampara (h)nadackal p. o erattupetta,  Erattupetta,  ,</t>
  </si>
  <si>
    <t>ABDUL GAFOOR.M</t>
  </si>
  <si>
    <t>Melethil house,  Pulluvanpadi,  Kalady post , KALADI panchayath</t>
  </si>
  <si>
    <t>NOUSHAD S</t>
  </si>
  <si>
    <t>Njarayilkonam Thiruvanathapuram9656185571</t>
  </si>
  <si>
    <t>9656185571</t>
  </si>
  <si>
    <t>MUHAMMED ASHARAF V K</t>
  </si>
  <si>
    <t>Vadavanakudy House Ponjassery PO Hidayath Nagar Perumbavoor  Eranakulam68354795394855378943800000</t>
  </si>
  <si>
    <t>Eranamkulam</t>
  </si>
  <si>
    <t>8943800000</t>
  </si>
  <si>
    <t>MUNIR.M</t>
  </si>
  <si>
    <t>Kottakkara Vadakkadil ManappallyPO Karunagappallykollam8714910688</t>
  </si>
  <si>
    <t>Kollam</t>
  </si>
  <si>
    <t>8714910688</t>
  </si>
  <si>
    <t>KUNHIKOYA</t>
  </si>
  <si>
    <t>Tanur7356416112</t>
  </si>
  <si>
    <t>7356416112</t>
  </si>
  <si>
    <t>SHAJEER KHAN</t>
  </si>
  <si>
    <t>Fathima Manzil Chembran Kadu Koduvazhannoor PO</t>
  </si>
  <si>
    <t>9645257053</t>
  </si>
  <si>
    <t>MUHAMMED ANVAR</t>
  </si>
  <si>
    <t>8593847672</t>
  </si>
  <si>
    <t>ABDUL MAJEED K K</t>
  </si>
  <si>
    <t>Vattapparakkal (H) karuvanpoyil (p.o) koduvally 9539350360</t>
  </si>
  <si>
    <t>9539350360</t>
  </si>
  <si>
    <t>ILS 1</t>
  </si>
  <si>
    <t>MOHAMMED ASHRAF</t>
  </si>
  <si>
    <t xml:space="preserve">Kozhikkodan  Edarikkode  Malappuram </t>
  </si>
  <si>
    <t>9400404055</t>
  </si>
  <si>
    <t>ABDUL BASHEER M T</t>
  </si>
  <si>
    <t>ThirumangalamKunnaramvelliMoolad P.O Naduvannur via 673614</t>
  </si>
  <si>
    <t>9946501154</t>
  </si>
  <si>
    <t>MOHAMMED MIDHLAJ</t>
  </si>
  <si>
    <t xml:space="preserve">Machingal house Naripparamb (po) kalady </t>
  </si>
  <si>
    <t>9037865355</t>
  </si>
  <si>
    <t>MUHAMMED RIYAS</t>
  </si>
  <si>
    <t>Kizhakkanadan
Karinkallathani/perinthalmanna 9510417901</t>
  </si>
  <si>
    <t>9510417901</t>
  </si>
  <si>
    <t xml:space="preserve">YOUSAF </t>
  </si>
  <si>
    <t>Kondoorkkara Thodi H Karakad Kondoorkkara PO</t>
  </si>
  <si>
    <t>Palakkad</t>
  </si>
  <si>
    <t>9745905408</t>
  </si>
  <si>
    <t>SHAREEF V</t>
  </si>
  <si>
    <t>Ponmala9034146268</t>
  </si>
  <si>
    <t>9034146268</t>
  </si>
  <si>
    <t>ABOOBACKER NK</t>
  </si>
  <si>
    <t>Naduvath kalathil Kadappuram mottammal kaattilanghadi PO</t>
  </si>
  <si>
    <t>8921510371</t>
  </si>
  <si>
    <t>AYOOB K M</t>
  </si>
  <si>
    <t>kmayoob949@gmail.com9778191206</t>
  </si>
  <si>
    <t>9778191206</t>
  </si>
  <si>
    <t>ANSARI MI</t>
  </si>
  <si>
    <t>Murickolil  H.Nadackal po Erattopetta kottayam,  Erattupetta, 9961671818 ,</t>
  </si>
  <si>
    <t>AFZEL RI</t>
  </si>
  <si>
    <t>RAYAMMARAKKAR HOUSE THIRUNELLUR MULLASSERY THRISSUR PIN 6805089846114423</t>
  </si>
  <si>
    <t>Thrissur</t>
  </si>
  <si>
    <t>9846114423</t>
  </si>
  <si>
    <t>ABDUL RAHMAN</t>
  </si>
  <si>
    <t>Manjeshwar Kasargode9744474075</t>
  </si>
  <si>
    <t>Kasarkode</t>
  </si>
  <si>
    <t>9744474075</t>
  </si>
  <si>
    <t>JAIFER</t>
  </si>
  <si>
    <t>Rippon7558861406</t>
  </si>
  <si>
    <t>7558861406</t>
  </si>
  <si>
    <t xml:space="preserve">ABDUL HAKEEM </t>
  </si>
  <si>
    <t>Madathil (H) kanjirappally ,  Kanjirappally , 9037026538 ,</t>
  </si>
  <si>
    <t xml:space="preserve">ABSAR KHAN </t>
  </si>
  <si>
    <t>Thiruvananthapuram Beemapally 7356367580</t>
  </si>
  <si>
    <t>7356367580</t>
  </si>
  <si>
    <t>THAHAKUTTY.A</t>
  </si>
  <si>
    <t>Thaha manzil Kulathupuza  Kollam</t>
  </si>
  <si>
    <t>8089801076</t>
  </si>
  <si>
    <t>RASHEED</t>
  </si>
  <si>
    <t>Puthuvel vila puthen veedu menappara kallambalam.p.o695605</t>
  </si>
  <si>
    <t>8129293039</t>
  </si>
  <si>
    <t xml:space="preserve">ABDUL HAKKIM OK </t>
  </si>
  <si>
    <t>Urngattiri, Malappuram</t>
  </si>
  <si>
    <t>9495720921. 8921100921</t>
  </si>
  <si>
    <t>HASEENA SHIHAB</t>
  </si>
  <si>
    <t>Kochukoikkal,  Thaliradi,  kaduvinal PO , Vallikunnam</t>
  </si>
  <si>
    <t>NOWSHAD S</t>
  </si>
  <si>
    <t>Palathinte Kizhakkathil Thaleeradi kaduvinal P.O vallikunnam7306819118</t>
  </si>
  <si>
    <t>7306819118</t>
  </si>
  <si>
    <t>SHAJAN K B</t>
  </si>
  <si>
    <t>Kaniyamparambil H 
Kattappana P O Idukki 85900693569496495317</t>
  </si>
  <si>
    <t>9496495317</t>
  </si>
  <si>
    <t>Edukki</t>
  </si>
  <si>
    <t>MUJEEB</t>
  </si>
  <si>
    <t xml:space="preserve">Puthusseri (h)
Pulingottupuram 
Amayoor po Thrikalangode  Malappuram </t>
  </si>
  <si>
    <t>9048475509</t>
  </si>
  <si>
    <t>ABDU GAFOOR</t>
  </si>
  <si>
    <t>Palakkade 9747542190</t>
  </si>
  <si>
    <t>9747542190</t>
  </si>
  <si>
    <t>THAJUDHEEN</t>
  </si>
  <si>
    <t>Peringala7025410822</t>
  </si>
  <si>
    <t>7025410822</t>
  </si>
  <si>
    <t>MAHABOOB RAHMAN K.P</t>
  </si>
  <si>
    <t>Majid manzil pullumkunnu ramanatukara vaidyarangadi kozhikode 6736339605272902</t>
  </si>
  <si>
    <t>9605272902</t>
  </si>
  <si>
    <t>BADARUDEEN A</t>
  </si>
  <si>
    <t>ALFAJAR HOUSE ERIYAL KUDLU  P.O</t>
  </si>
  <si>
    <t>8714235377</t>
  </si>
  <si>
    <t>ISMAIL</t>
  </si>
  <si>
    <t>Kodiyra8943898320</t>
  </si>
  <si>
    <t>Kozhikode</t>
  </si>
  <si>
    <t>8943898320</t>
  </si>
  <si>
    <t xml:space="preserve">UKKAS </t>
  </si>
  <si>
    <t>Perambra Kozhikode7558084311</t>
  </si>
  <si>
    <t>7558084311</t>
  </si>
  <si>
    <t>ABDULLATHEEF PK</t>
  </si>
  <si>
    <t xml:space="preserve">Pokkakkilath (h) kadappuram,  chavakkad,  Thrissur  , Kadappuram </t>
  </si>
  <si>
    <t xml:space="preserve">Thrissur </t>
  </si>
  <si>
    <t>ASHRAF CH</t>
  </si>
  <si>
    <t>Thirurkad PO,  Perinthalmanna,  ,</t>
  </si>
  <si>
    <t>SHIHABUDHEEN</t>
  </si>
  <si>
    <t>Kaduvinal9633984242</t>
  </si>
  <si>
    <t>9633984242</t>
  </si>
  <si>
    <t>ASHRAF KV</t>
  </si>
  <si>
    <t>KULANGARA VEETIL  HOUSEPANTHAVOOR ALAMCODE</t>
  </si>
  <si>
    <t>9846240849</t>
  </si>
  <si>
    <t>HAKKIM K</t>
  </si>
  <si>
    <t>Thavakkal manzil kunnilkada Mudapuram PO kizhuvilam chirayenkeezh 960555628</t>
  </si>
  <si>
    <t xml:space="preserve"> 960555628</t>
  </si>
  <si>
    <t>MOHAMMED SAEED</t>
  </si>
  <si>
    <t>ABDUL MAJEED KOOPAYIL</t>
  </si>
  <si>
    <t xml:space="preserve">KOOPAYIL H,  VELIMUKKU,  MALAPPURAM , </t>
  </si>
  <si>
    <t>Coimbatore</t>
  </si>
  <si>
    <t>Kavalakatte8970100074</t>
  </si>
  <si>
    <t>Karnataka</t>
  </si>
  <si>
    <t>8970100074</t>
  </si>
  <si>
    <t>MOHAMMED SOOPY</t>
  </si>
  <si>
    <t>Edappatta edapattamalappuram kerala 6793268086505620</t>
  </si>
  <si>
    <t>8086505620</t>
  </si>
  <si>
    <t>MUHAMMADALI. P.M</t>
  </si>
  <si>
    <t xml:space="preserve">Poovil(H) Punnakkad PO Karuvarakundu </t>
  </si>
  <si>
    <t>7994975697</t>
  </si>
  <si>
    <t>SUBER KUNJU</t>
  </si>
  <si>
    <t>Kanjiravila kizhakkathil,  chola puthenchantha PO, 691583 ,KOLLAM</t>
  </si>
  <si>
    <t>ABDUL KABEER P.Y</t>
  </si>
  <si>
    <t>PALLATH (H) PATHIYASSERY,  PO. PATHAZHAKKADU,  KODUGALLOOR ,THRISSUR</t>
  </si>
  <si>
    <t xml:space="preserve">THRISSUR </t>
  </si>
  <si>
    <t>KASIM.KP</t>
  </si>
  <si>
    <t>Rafeena’s Kannavam (po) 670650,  Chittariparamba,  ,</t>
  </si>
  <si>
    <t xml:space="preserve">Kannur </t>
  </si>
  <si>
    <t>ABDULRAHMAN PM</t>
  </si>
  <si>
    <t>Vazhakkulam</t>
  </si>
  <si>
    <t xml:space="preserve">Ernakulam </t>
  </si>
  <si>
    <t>NOUSHAD</t>
  </si>
  <si>
    <t>Ellumannam Wayanad9645071474</t>
  </si>
  <si>
    <t>9645071474</t>
  </si>
  <si>
    <t>HARIS MK</t>
  </si>
  <si>
    <t>Mukri housepariyaram 673122wayanad</t>
  </si>
  <si>
    <t>9961017846</t>
  </si>
  <si>
    <t>ADBUL HAKKEM</t>
  </si>
  <si>
    <t>Nudumangad Thiruvanathapuram9400767278</t>
  </si>
  <si>
    <t>9400767278</t>
  </si>
  <si>
    <t>IQBAL</t>
  </si>
  <si>
    <t>Perinthalmanna9745903145</t>
  </si>
  <si>
    <t>9745903145</t>
  </si>
  <si>
    <t>NASARUDHEEN</t>
  </si>
  <si>
    <t>Vembayam8078536800</t>
  </si>
  <si>
    <t>8078536800</t>
  </si>
  <si>
    <t>MOHAMMED IQBAL SM</t>
  </si>
  <si>
    <t>ATHANIKKAL,  PERITHALMANNA ,  ,</t>
  </si>
  <si>
    <t>MALAPURAM</t>
  </si>
  <si>
    <t>LIYAKATHALI</t>
  </si>
  <si>
    <t>Veloor9946812496</t>
  </si>
  <si>
    <t>9946812496</t>
  </si>
  <si>
    <t>ANVAR NA</t>
  </si>
  <si>
    <t>Pilakavu7012483013</t>
  </si>
  <si>
    <t>7012483013</t>
  </si>
  <si>
    <t>അബുൽ ബഷീർ MT</t>
  </si>
  <si>
    <t>Naduvannur Moolad</t>
  </si>
  <si>
    <t xml:space="preserve"> 9946501154
8943671154</t>
  </si>
  <si>
    <t>ABDUL JALEEL CHEERAN THODIKA</t>
  </si>
  <si>
    <t>Kozhakkodan chalil,  Poovathikkal po,  Malappuram dt , Kerala st. 673639</t>
  </si>
  <si>
    <t xml:space="preserve"> 9562487231
8139817331</t>
  </si>
  <si>
    <t>NISSAR AHMMED</t>
  </si>
  <si>
    <t>Mannam9961132274</t>
  </si>
  <si>
    <t>9961132274</t>
  </si>
  <si>
    <t>MIRSHAD. A</t>
  </si>
  <si>
    <t>Thadatharikathu vilayil Veedu melekuttimoodu vellumannadi p.o venjarmoodu ,  Vamanapuram,  ,</t>
  </si>
  <si>
    <t xml:space="preserve">Thiruvanathapuram </t>
  </si>
  <si>
    <t>SAHID</t>
  </si>
  <si>
    <t>Cherukattoor Wayanad9995924924</t>
  </si>
  <si>
    <t>9995924924</t>
  </si>
  <si>
    <t xml:space="preserve">ASHRAF AK </t>
  </si>
  <si>
    <t>lakandi house kattayad po vellamunda Wayanad 670731,  Mananthavady, ,</t>
  </si>
  <si>
    <t>MUHAMMED ZAKKARIYA</t>
  </si>
  <si>
    <t>Pangode8086615589</t>
  </si>
  <si>
    <t>8086615589</t>
  </si>
  <si>
    <t>MUHAMMED NAVAS S</t>
  </si>
  <si>
    <t>Pangodu Thiruvanathapuram9562410869</t>
  </si>
  <si>
    <t>9562410869</t>
  </si>
  <si>
    <t>ABDUL RASHEED  K B</t>
  </si>
  <si>
    <t>Karengel  House,  pazhunnana,  Chemmanthatta PO ,680501</t>
  </si>
  <si>
    <t>ANWAR SADATH C</t>
  </si>
  <si>
    <t>ARODIYIL Valiyaparambil,  karad paramba,  Kondotty  ,</t>
  </si>
  <si>
    <t>RAISHAL BABU K</t>
  </si>
  <si>
    <t>Karuvalli (H) Kadungapuram (Po) Angadippuram (via) Malappuram (Dt) Pin: 679321,  Mankada,  ,</t>
  </si>
  <si>
    <t>MUHAMMAD RASHEED.M</t>
  </si>
  <si>
    <t>Mannukukunnan H,  vettathur,  ,</t>
  </si>
  <si>
    <t xml:space="preserve">Malapuram </t>
  </si>
  <si>
    <t>SIRAJ KOTTEKARAN</t>
  </si>
  <si>
    <t>Puthanpeedikayil po.pannyanore,  Pannyanore,  ,</t>
  </si>
  <si>
    <t>Kannur</t>
  </si>
  <si>
    <t>MUHAMMED MINHAJ KP</t>
  </si>
  <si>
    <t>SUBAIR</t>
  </si>
  <si>
    <t>Kudukkil poyil (h) puthen theruvil,  Thamarassery,  ,</t>
  </si>
  <si>
    <t>HAMZA.K</t>
  </si>
  <si>
    <t>Madathil(h)KulathurCalicut Airport(po)673647Malapuram</t>
  </si>
  <si>
    <t>8281560837</t>
  </si>
  <si>
    <t>MUJEEB RAHMAN  CT</t>
  </si>
  <si>
    <t>CHETTIYAMTHODI HOUSE,  PARAMBOOR,  PATTIKKAD PO.  679325 ,MALAPPURAM.</t>
  </si>
  <si>
    <t>MALAPPURAM.</t>
  </si>
  <si>
    <t>Kadameri9778184658</t>
  </si>
  <si>
    <t>9778184658</t>
  </si>
  <si>
    <t>NAVAF AP</t>
  </si>
  <si>
    <t>Arukulampurath house . payyoli angadi post 673523 pin,  Thurayur,  7902415813   8089815813 ,</t>
  </si>
  <si>
    <t>Chiravalloor9847025323</t>
  </si>
  <si>
    <t>9847025323</t>
  </si>
  <si>
    <t>BASHEER C</t>
  </si>
  <si>
    <t>Calicut Airport9809339966</t>
  </si>
  <si>
    <t>9809339966</t>
  </si>
  <si>
    <t>SHAJI N K</t>
  </si>
  <si>
    <t>NADUKKANDYNADERI PO673620</t>
  </si>
  <si>
    <t>9947932129</t>
  </si>
  <si>
    <t>RAJEENA. L(MOTHER )</t>
  </si>
  <si>
    <t>Darul salam. Kalluvarambu. Poovathoor. P O. Nedumangad. 695561,  Muncipqlity. Nedumangad ,  8921974141/9207464684 ,</t>
  </si>
  <si>
    <t xml:space="preserve">Trivandrum </t>
  </si>
  <si>
    <t>IBRAHIM</t>
  </si>
  <si>
    <t>KANNAPPAN KUZHIYILKALOTHKONDOTTY 673638</t>
  </si>
  <si>
    <t>9947080908</t>
  </si>
  <si>
    <t>AMJATH KHAN AH</t>
  </si>
  <si>
    <t>Aarashmitheen (H) Cheruthuruthy,  Thrissur Kerala ,  Vallathol nagar Cheruthuruthy  ,</t>
  </si>
  <si>
    <t>AMJED KHAN</t>
  </si>
  <si>
    <t>Cheruthuruthy Thrissur8113023002</t>
  </si>
  <si>
    <t>8113023002</t>
  </si>
  <si>
    <t>Kuttipuram8943064084</t>
  </si>
  <si>
    <t>8943064084</t>
  </si>
  <si>
    <t>MUHAMMED NAJEEB THANGAL BK</t>
  </si>
  <si>
    <t>Cheruminnatil house,  Azhiyoor, 7909159612 ,</t>
  </si>
  <si>
    <t xml:space="preserve">Kozhikode </t>
  </si>
  <si>
    <t>ABDUL RASHEED M. A</t>
  </si>
  <si>
    <t>Mandhiyil (H)8129887739</t>
  </si>
  <si>
    <t>8129887739</t>
  </si>
  <si>
    <t>MUHAMMED SABITH P</t>
  </si>
  <si>
    <t>HAMSAKUTTY</t>
  </si>
  <si>
    <t>Paratha, mambattumoola, chokkad ,malappuram</t>
  </si>
  <si>
    <t>SUBAIR V.A</t>
  </si>
  <si>
    <t xml:space="preserve">VELUTHEDATH HOUSE, KARIPPASSERY MUGAL, VADACODE PO ,ERNAKULAM </t>
  </si>
  <si>
    <t>RAFEEQ V A</t>
  </si>
  <si>
    <t>Valuvakkadu House, Thuruth, Aluva , Parakkadavu</t>
  </si>
  <si>
    <t>Ernankulam</t>
  </si>
  <si>
    <t>ABDUL JALEEL</t>
  </si>
  <si>
    <t>Edavaka Wayanad9072127080</t>
  </si>
  <si>
    <t>9072127080</t>
  </si>
  <si>
    <t>NIZAMUDHEEN</t>
  </si>
  <si>
    <t>Chekkakonam9072019513</t>
  </si>
  <si>
    <t>9072019513</t>
  </si>
  <si>
    <t>Ugrapuram9846721023</t>
  </si>
  <si>
    <t>9846721023</t>
  </si>
  <si>
    <t>MUHAMMED ALI</t>
  </si>
  <si>
    <t>Kakkotakkath housepannoyoorpallivayal</t>
  </si>
  <si>
    <t>9567800131</t>
  </si>
  <si>
    <t>JAMAL.P</t>
  </si>
  <si>
    <t>PONNIARINADERI PO673620</t>
  </si>
  <si>
    <t>8281578635</t>
  </si>
  <si>
    <t>SALAM</t>
  </si>
  <si>
    <t>Velluvangad9446782427</t>
  </si>
  <si>
    <t>9446782427</t>
  </si>
  <si>
    <t>SHARAFUDHEEN K</t>
  </si>
  <si>
    <t>Anju Kunnu Wayanad8086063002</t>
  </si>
  <si>
    <t>8086063002</t>
  </si>
  <si>
    <t>ABDUL MANAF.A</t>
  </si>
  <si>
    <t xml:space="preserve">ETTATHANIKUZHI,  PARAVOOR,  PULIKKAL , Kondotty </t>
  </si>
  <si>
    <t>ABDUL SATHAR K</t>
  </si>
  <si>
    <t>KAINIKARA KOTTAPPURAM ANDIYOORKUNNU PO 673637 MALAPPURAM9746659604</t>
  </si>
  <si>
    <t>9746659604</t>
  </si>
  <si>
    <t>ABDUL KADHAR</t>
  </si>
  <si>
    <t>Kanaran kandi,   Puthuppadi,  ,</t>
  </si>
  <si>
    <t>NOORUDHEEN</t>
  </si>
  <si>
    <t>Valiyora7025024277</t>
  </si>
  <si>
    <t>7025024277</t>
  </si>
  <si>
    <t>VERRAN KUTTY.P</t>
  </si>
  <si>
    <t>Parambil house6282720272</t>
  </si>
  <si>
    <t>6282720272</t>
  </si>
  <si>
    <t>ABOOBAKER</t>
  </si>
  <si>
    <t>Shukhapuram Malappuram9645268067</t>
  </si>
  <si>
    <t>9645268067</t>
  </si>
  <si>
    <t>UNNIMOHAMMED</t>
  </si>
  <si>
    <t>Payyanad9447106051</t>
  </si>
  <si>
    <t>9447106051</t>
  </si>
  <si>
    <t>MUHAMMED NAVAS</t>
  </si>
  <si>
    <t>Thachakal8139881753</t>
  </si>
  <si>
    <t>8139881753</t>
  </si>
  <si>
    <t>ABDUL GAFOOR</t>
  </si>
  <si>
    <t>Thalappuzzha8606772009</t>
  </si>
  <si>
    <t>8606772009</t>
  </si>
  <si>
    <t>RAFI</t>
  </si>
  <si>
    <t>RODUVILAKATHU PUTHAN VEEDU KOLLAYIL PO KOLLAYIL8943958647</t>
  </si>
  <si>
    <t>8943958647</t>
  </si>
  <si>
    <t>NOOHUL AMEEN K T</t>
  </si>
  <si>
    <t>HANASPULLOOPPI KANNADIPARAMBA</t>
  </si>
  <si>
    <t>9747638267</t>
  </si>
  <si>
    <t>Chorode (po) vaikilaseri,  Chorode panayath, 9447544278 ,</t>
  </si>
  <si>
    <t>Kozikode</t>
  </si>
  <si>
    <t>9447544278 ,</t>
  </si>
  <si>
    <t>MOIDEEN KUTTY V</t>
  </si>
  <si>
    <t>Valancheeri House narukara[po] pin676123 manjeri malapuram676123</t>
  </si>
  <si>
    <t>SAKKIR.H</t>
  </si>
  <si>
    <t>Charivuthund purayidamkumbazha P.O Pathanamthitta8907386565</t>
  </si>
  <si>
    <t>8907386565</t>
  </si>
  <si>
    <t>MUHAMMED YASEENCM</t>
  </si>
  <si>
    <t>SAHADUDHEEN</t>
  </si>
  <si>
    <t>Choyimadathil achanambalam kannamangalam po676304malappuram</t>
  </si>
  <si>
    <t>9744559784</t>
  </si>
  <si>
    <t>ABDUL KAREEM</t>
  </si>
  <si>
    <t>Vengara9562176790</t>
  </si>
  <si>
    <t>9562176790</t>
  </si>
  <si>
    <t>BASHEER. P. K</t>
  </si>
  <si>
    <t xml:space="preserve">Kattiparambil(H)Elookkara Muppathadam P. O Aluva,  Kadungalloor , </t>
  </si>
  <si>
    <t>VALIYAKKATHODI PATHUMOOCHI VALIYORA PO</t>
  </si>
  <si>
    <t>9496285790</t>
  </si>
  <si>
    <t>IBRAHIM BA</t>
  </si>
  <si>
    <t>Nabhvath Nagar9539851333</t>
  </si>
  <si>
    <t>9539851333</t>
  </si>
  <si>
    <t>ABDUL HAMEED KV</t>
  </si>
  <si>
    <t>Puzhukolly,  Devarsholai,  The nilgiris , Thamil nadu 643211</t>
  </si>
  <si>
    <t>Nilgiri</t>
  </si>
  <si>
    <t>ABDUL GAFOOR N</t>
  </si>
  <si>
    <t>Malappuram 6933160027</t>
  </si>
  <si>
    <t>6933160027</t>
  </si>
  <si>
    <t>ABOOBACKAR P. K</t>
  </si>
  <si>
    <t>Purayankkottummal (ho)
Thandorappara (po)
Kayanna (vi)
Kozhikode
673527 Koothali Kozhikode</t>
  </si>
  <si>
    <t>9656291494</t>
  </si>
  <si>
    <t>SHANAVAS.S</t>
  </si>
  <si>
    <t>7012033022</t>
  </si>
  <si>
    <t>ABDUL BASHEER</t>
  </si>
  <si>
    <t>Kalathum padiyan,  Mankad,  ,</t>
  </si>
  <si>
    <t>FASIL KK</t>
  </si>
  <si>
    <t>Puthenchira9446151331</t>
  </si>
  <si>
    <t>9446151331</t>
  </si>
  <si>
    <t xml:space="preserve">FIROS </t>
  </si>
  <si>
    <t xml:space="preserve">Machanchery house,  Aripra po ,  Malappuram dr , Angadippuram </t>
  </si>
  <si>
    <t>MUSTHAFA</t>
  </si>
  <si>
    <t>Mundiyan kandi house paravoorkondotty.pulikkal  6736379946113350</t>
  </si>
  <si>
    <t>9946113350</t>
  </si>
  <si>
    <t>MUHAMMED ALI C</t>
  </si>
  <si>
    <t>PULIKKOOL H LIYIL ULIYIL PO</t>
  </si>
  <si>
    <t>9526096242</t>
  </si>
  <si>
    <t>NAVAS</t>
  </si>
  <si>
    <t>Kannadiyil H Kalleri Ayancheri PO</t>
  </si>
  <si>
    <t>7356770723</t>
  </si>
  <si>
    <t>MANAKANDATHIL RAHEEM</t>
  </si>
  <si>
    <t xml:space="preserve">Baithul shamam,  perumundery,  new Mahe  , New Mahe </t>
  </si>
  <si>
    <t>ABDUL RAZAK KM</t>
  </si>
  <si>
    <t>Shornur7012229210</t>
  </si>
  <si>
    <t>Palakkade</t>
  </si>
  <si>
    <t>7012229210</t>
  </si>
  <si>
    <t>ABDUL BASHEER  KT</t>
  </si>
  <si>
    <t>KADAN THODI HOUSE,  THONIKKARA,  THIRURKAD PO , PIN 679321</t>
  </si>
  <si>
    <t xml:space="preserve">MALAPPURAM </t>
  </si>
  <si>
    <t>LATHEEF</t>
  </si>
  <si>
    <t>Kannur 8921111512</t>
  </si>
  <si>
    <t>8921111512</t>
  </si>
  <si>
    <t xml:space="preserve">ISMAIL KUNNATH </t>
  </si>
  <si>
    <t xml:space="preserve">VELLUR (PO) KUNNATH (H) MALAPPURAM POOKOOTTUR PANCHAYATH  Malappuram </t>
  </si>
  <si>
    <t>9526538002</t>
  </si>
  <si>
    <t>SIKANDER</t>
  </si>
  <si>
    <t>Coimbathur</t>
  </si>
  <si>
    <t>6382623643</t>
  </si>
  <si>
    <t>NAZIR P</t>
  </si>
  <si>
    <t>ASYAS,  NEAR MGGA COLLEGE,  CHALAKKARA , MAHE</t>
  </si>
  <si>
    <t>Mahe</t>
  </si>
  <si>
    <t xml:space="preserve"> 7012742084. 8015384390</t>
  </si>
  <si>
    <t>SEENATH</t>
  </si>
  <si>
    <t>Elappully7907405365</t>
  </si>
  <si>
    <t>7907405365</t>
  </si>
  <si>
    <t>AHAMMED KABEER</t>
  </si>
  <si>
    <t>Mulayankavil (H) 
Payimpadam 
Edakkara
Palemad(p.o) 7012607480</t>
  </si>
  <si>
    <t>7012607480</t>
  </si>
  <si>
    <t>HANEEFA M</t>
  </si>
  <si>
    <t>Mattanur Kannur</t>
  </si>
  <si>
    <t>SHAMEER VP</t>
  </si>
  <si>
    <t>Karakkamal p.o karakkamal manadhavady wayanad 8089221358</t>
  </si>
  <si>
    <t>8089221358</t>
  </si>
  <si>
    <t>FIROS KHAN</t>
  </si>
  <si>
    <t>Thachampoyil9497079386</t>
  </si>
  <si>
    <t>9497079386</t>
  </si>
  <si>
    <t>M ISMAIL</t>
  </si>
  <si>
    <t>7418622411</t>
  </si>
  <si>
    <t>SHIHAB</t>
  </si>
  <si>
    <t>Anakkayam9037132363</t>
  </si>
  <si>
    <t>9037132363</t>
  </si>
  <si>
    <t>BASHEER KM</t>
  </si>
  <si>
    <t>KALLARAMEETHAL MULIYANGAL CHENOLI PO 673525 KOZHIKODE9048636455</t>
  </si>
  <si>
    <t>9048636455</t>
  </si>
  <si>
    <t>SHIHABUDHEEN CT</t>
  </si>
  <si>
    <t>Cheeranthodi 9745831110</t>
  </si>
  <si>
    <t>malappuram</t>
  </si>
  <si>
    <t>9745831110</t>
  </si>
  <si>
    <t>MUHAMMED A A</t>
  </si>
  <si>
    <t xml:space="preserve">Attukandathil house pazhunnana Chemmanthatta Thrissur </t>
  </si>
  <si>
    <t>8943276795</t>
  </si>
  <si>
    <t>THWAHA. MP</t>
  </si>
  <si>
    <t>Thahliya manzil 
Vellap road Thaikeel near e arena turff 9539402956</t>
  </si>
  <si>
    <t>9539402956</t>
  </si>
  <si>
    <t>UMMAR FARROOQ</t>
  </si>
  <si>
    <t>Ummarx491
North Housing unit selvapuram
coimbatore
Tamil nadu 641026</t>
  </si>
  <si>
    <t>Coimbature</t>
  </si>
  <si>
    <t>7449000126</t>
  </si>
  <si>
    <t>HAMZA</t>
  </si>
  <si>
    <t>Cherkallimel (House),  (po)Vadanamkurussi,  (Via)Shoranur       (Pin) 679121 , Pattambi</t>
  </si>
  <si>
    <t>Mannam9895533096</t>
  </si>
  <si>
    <t>9895533096</t>
  </si>
  <si>
    <t>Yaseen</t>
  </si>
  <si>
    <t>ELorum Khandiyil,  Vaikkilassery,  Vadayara ,673104</t>
  </si>
  <si>
    <t>RAHIM</t>
  </si>
  <si>
    <t>New Mahe9037187234</t>
  </si>
  <si>
    <t>9037187234</t>
  </si>
  <si>
    <t>ILP 4 soc</t>
  </si>
  <si>
    <t>ILP 4 bcom</t>
  </si>
  <si>
    <t>ILP 4 bca</t>
  </si>
  <si>
    <t xml:space="preserve">ILP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</si>
</sst>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myyyy"/>
    <numFmt numFmtId="165" formatCode="mmmm\ yyyy"/>
    <numFmt numFmtId="166" formatCode="d&quot;-&quot;mmm&quot;-&quot;yyyy"/>
    <numFmt numFmtId="167" formatCode="[$₹]#,##0"/>
  </numFmts>
  <fonts count="25" x14ac:knownFonts="1">
    <font>
      <sz val="10"/>
      <color rgb="FF000000"/>
      <name val="Arial"/>
      <scheme val="minor"/>
    </font>
    <font>
      <sz val="14"/>
      <color theme="1"/>
      <name val="Times New Roman"/>
    </font>
    <font>
      <sz val="14"/>
      <color rgb="FFFFFFFF"/>
      <name val="Times New Roman"/>
    </font>
    <font>
      <b/>
      <sz val="7"/>
      <color theme="1"/>
      <name val="Times New Roman"/>
    </font>
    <font>
      <b/>
      <sz val="14"/>
      <color theme="1"/>
      <name val="Times New Roman"/>
    </font>
    <font>
      <b/>
      <sz val="10"/>
      <color theme="1"/>
      <name val="Times New Roman"/>
    </font>
    <font>
      <u/>
      <sz val="14"/>
      <color rgb="FF0000FF"/>
      <name val="Times New Roman"/>
    </font>
    <font>
      <b/>
      <sz val="31"/>
      <color rgb="FF2D695F"/>
      <name val="Rockwell"/>
    </font>
    <font>
      <sz val="10"/>
      <name val="Arial"/>
    </font>
    <font>
      <sz val="13"/>
      <color rgb="FFFFFFFF"/>
      <name val="Arial"/>
      <scheme val="minor"/>
    </font>
    <font>
      <sz val="13"/>
      <color theme="1"/>
      <name val="Arial"/>
      <scheme val="minor"/>
    </font>
    <font>
      <b/>
      <i/>
      <sz val="14"/>
      <color theme="1"/>
      <name val="Times New Roman"/>
    </font>
    <font>
      <b/>
      <sz val="13"/>
      <color theme="1"/>
      <name val="Arial"/>
      <scheme val="minor"/>
    </font>
    <font>
      <sz val="15"/>
      <color theme="1"/>
      <name val="Arial"/>
      <scheme val="minor"/>
    </font>
    <font>
      <b/>
      <sz val="18"/>
      <color rgb="FFFFFFFF"/>
      <name val="Arial"/>
      <scheme val="minor"/>
    </font>
    <font>
      <b/>
      <sz val="13"/>
      <color theme="1"/>
      <name val="Times New Roman"/>
    </font>
    <font>
      <sz val="13"/>
      <color theme="1"/>
      <name val="Calibri"/>
    </font>
    <font>
      <b/>
      <sz val="13"/>
      <color theme="1"/>
      <name val="Calibri"/>
    </font>
    <font>
      <sz val="13"/>
      <color theme="1"/>
      <name val="Times New Roman"/>
    </font>
    <font>
      <sz val="13"/>
      <color theme="1"/>
      <name val="Arial"/>
    </font>
    <font>
      <sz val="13"/>
      <color theme="1"/>
      <name val="Roboto"/>
    </font>
    <font>
      <sz val="13"/>
      <color theme="1"/>
      <name val="Aptos Narrow"/>
    </font>
    <font>
      <sz val="13"/>
      <color rgb="FF000000"/>
      <name val="Arial"/>
    </font>
    <font>
      <sz val="11"/>
      <color theme="1"/>
      <name val="Calibri"/>
    </font>
    <font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E1F2EF"/>
        <bgColor rgb="FFE1F2E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8F9FA"/>
        <bgColor rgb="FFF8F9FA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 wrapText="1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66" fontId="10" fillId="0" borderId="9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8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9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 wrapText="1"/>
    </xf>
    <xf numFmtId="0" fontId="18" fillId="4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vertical="center" wrapText="1"/>
    </xf>
    <xf numFmtId="0" fontId="19" fillId="9" borderId="1" xfId="0" applyFont="1" applyFill="1" applyBorder="1" applyAlignment="1">
      <alignment vertical="center"/>
    </xf>
    <xf numFmtId="0" fontId="16" fillId="9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 wrapText="1"/>
    </xf>
    <xf numFmtId="0" fontId="21" fillId="9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22" fillId="0" borderId="11" xfId="0" applyFont="1" applyBorder="1" applyAlignment="1">
      <alignment vertical="center"/>
    </xf>
    <xf numFmtId="0" fontId="20" fillId="4" borderId="1" xfId="0" applyFont="1" applyFill="1" applyBorder="1" applyAlignment="1">
      <alignment horizontal="right" vertical="center"/>
    </xf>
    <xf numFmtId="0" fontId="20" fillId="9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/>
    </xf>
    <xf numFmtId="0" fontId="23" fillId="0" borderId="0" xfId="0" applyFont="1"/>
    <xf numFmtId="0" fontId="23" fillId="0" borderId="0" xfId="0" applyFont="1" applyAlignment="1">
      <alignment wrapText="1"/>
    </xf>
    <xf numFmtId="0" fontId="23" fillId="0" borderId="0" xfId="0" applyFont="1" applyAlignment="1">
      <alignment horizontal="left"/>
    </xf>
    <xf numFmtId="0" fontId="24" fillId="0" borderId="0" xfId="0" applyFont="1" applyAlignment="1">
      <alignment wrapText="1"/>
    </xf>
    <xf numFmtId="0" fontId="24" fillId="0" borderId="0" xfId="0" applyFont="1" applyAlignment="1">
      <alignment horizontal="left"/>
    </xf>
    <xf numFmtId="0" fontId="2" fillId="2" borderId="0" xfId="0" applyFont="1" applyFill="1" applyAlignment="1">
      <alignment horizontal="right" vertical="center"/>
    </xf>
    <xf numFmtId="0" fontId="0" fillId="0" borderId="0" xfId="0"/>
    <xf numFmtId="0" fontId="4" fillId="0" borderId="8" xfId="0" applyFont="1" applyBorder="1" applyAlignment="1">
      <alignment vertical="center" wrapText="1"/>
    </xf>
    <xf numFmtId="0" fontId="8" fillId="0" borderId="9" xfId="0" applyFont="1" applyBorder="1"/>
    <xf numFmtId="0" fontId="12" fillId="0" borderId="8" xfId="0" applyFont="1" applyBorder="1" applyAlignment="1">
      <alignment vertical="center" wrapText="1"/>
    </xf>
    <xf numFmtId="0" fontId="8" fillId="0" borderId="10" xfId="0" applyFont="1" applyBorder="1"/>
    <xf numFmtId="0" fontId="10" fillId="0" borderId="8" xfId="0" applyFont="1" applyBorder="1" applyAlignment="1">
      <alignment horizontal="right" vertical="center" wrapText="1"/>
    </xf>
    <xf numFmtId="167" fontId="14" fillId="8" borderId="8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9" fillId="6" borderId="0" xfId="0" applyFont="1" applyFill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39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8"/>
      <tableStyleElement type="headerRow" dxfId="37"/>
      <tableStyleElement type="firstRowStripe" dxfId="36"/>
      <tableStyleElement type="secondRowStripe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H186" dataDxfId="34">
  <autoFilter ref="A3:AH186" xr:uid="{00000000-0009-0000-0100-000001000000}"/>
  <tableColumns count="34">
    <tableColumn id="1" xr3:uid="{00000000-0010-0000-0000-000001000000}" name="SL NO" dataDxfId="33"/>
    <tableColumn id="2" xr3:uid="{00000000-0010-0000-0000-000002000000}" name="Admsn No" dataDxfId="32"/>
    <tableColumn id="3" xr3:uid="{00000000-0010-0000-0000-000003000000}" name="Name" dataDxfId="31"/>
    <tableColumn id="4" xr3:uid="{00000000-0010-0000-0000-000004000000}" name="Name of Father" dataDxfId="30"/>
    <tableColumn id="5" xr3:uid="{00000000-0010-0000-0000-000005000000}" name="ADDRESS" dataDxfId="29"/>
    <tableColumn id="6" xr3:uid="{00000000-0010-0000-0000-000006000000}" name="DISTRICT" dataDxfId="28"/>
    <tableColumn id="7" xr3:uid="{00000000-0010-0000-0000-000007000000}" name="PHONE" dataDxfId="27"/>
    <tableColumn id="8" xr3:uid="{00000000-0010-0000-0000-000008000000}" name="Class" dataDxfId="26"/>
    <tableColumn id="9" xr3:uid="{00000000-0010-0000-0000-000009000000}" name="Phone No" dataDxfId="25"/>
    <tableColumn id="10" xr3:uid="{00000000-0010-0000-0000-00000A000000}" name="Current Due" dataDxfId="24"/>
    <tableColumn id="11" xr3:uid="{00000000-0010-0000-0000-00000B000000}" name="Prev Balance" dataDxfId="23"/>
    <tableColumn id="12" xr3:uid="{00000000-0010-0000-0000-00000C000000}" name="Sem Fee (odd)" dataDxfId="22"/>
    <tableColumn id="13" xr3:uid="{00000000-0010-0000-0000-00000D000000}" name="Monthly Installment" dataDxfId="21"/>
    <tableColumn id="14" xr3:uid="{00000000-0010-0000-0000-00000E000000}" name="JUNE" dataDxfId="20"/>
    <tableColumn id="15" xr3:uid="{00000000-0010-0000-0000-00000F000000}" name="JuneReciept" dataDxfId="19"/>
    <tableColumn id="16" xr3:uid="{00000000-0010-0000-0000-000010000000}" name="JULY" dataDxfId="18"/>
    <tableColumn id="17" xr3:uid="{00000000-0010-0000-0000-000011000000}" name="AUG" dataDxfId="17"/>
    <tableColumn id="18" xr3:uid="{00000000-0010-0000-0000-000012000000}" name="SEP" dataDxfId="16"/>
    <tableColumn id="19" xr3:uid="{00000000-0010-0000-0000-000013000000}" name="OCT" dataDxfId="15"/>
    <tableColumn id="20" xr3:uid="{00000000-0010-0000-0000-000014000000}" name="NOV" dataDxfId="14"/>
    <tableColumn id="21" xr3:uid="{00000000-0010-0000-0000-000015000000}" name="Paid" dataDxfId="13"/>
    <tableColumn id="22" xr3:uid="{00000000-0010-0000-0000-000016000000}" name="Prev Balance 2" dataDxfId="12"/>
    <tableColumn id="23" xr3:uid="{00000000-0010-0000-0000-000017000000}" name="Sem Fee (Even)" dataDxfId="11"/>
    <tableColumn id="24" xr3:uid="{00000000-0010-0000-0000-000018000000}" name="DEC" dataDxfId="10"/>
    <tableColumn id="25" xr3:uid="{00000000-0010-0000-0000-000019000000}" name="Jan" dataDxfId="9"/>
    <tableColumn id="26" xr3:uid="{00000000-0010-0000-0000-00001A000000}" name="FEB" dataDxfId="8"/>
    <tableColumn id="27" xr3:uid="{00000000-0010-0000-0000-00001B000000}" name="Bank / Cash" dataDxfId="7"/>
    <tableColumn id="28" xr3:uid="{00000000-0010-0000-0000-00001C000000}" name="MAR" dataDxfId="6"/>
    <tableColumn id="29" xr3:uid="{00000000-0010-0000-0000-00001D000000}" name="Bank / Cash 2" dataDxfId="5"/>
    <tableColumn id="30" xr3:uid="{00000000-0010-0000-0000-00001E000000}" name="APR" dataDxfId="4"/>
    <tableColumn id="31" xr3:uid="{00000000-0010-0000-0000-00001F000000}" name="Bank / Cash 3" dataDxfId="3"/>
    <tableColumn id="32" xr3:uid="{00000000-0010-0000-0000-000020000000}" name="May" dataDxfId="2"/>
    <tableColumn id="33" xr3:uid="{00000000-0010-0000-0000-000021000000}" name="Recieved" dataDxfId="1"/>
    <tableColumn id="34" xr3:uid="{00000000-0010-0000-0000-000022000000}" name="Balance2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997"/>
  <sheetViews>
    <sheetView tabSelected="1" zoomScale="55" zoomScaleNormal="55" workbookViewId="0">
      <pane ySplit="3" topLeftCell="A85" activePane="bottomLeft" state="frozen"/>
      <selection pane="bottomLeft" activeCell="H100" sqref="H100"/>
    </sheetView>
  </sheetViews>
  <sheetFormatPr defaultColWidth="12.5703125" defaultRowHeight="15.75" customHeight="1" x14ac:dyDescent="0.2"/>
  <cols>
    <col min="1" max="1" width="5.140625" customWidth="1"/>
    <col min="2" max="2" width="7.42578125" customWidth="1"/>
    <col min="3" max="3" width="39.85546875" customWidth="1"/>
    <col min="4" max="4" width="21.85546875" customWidth="1"/>
    <col min="5" max="5" width="26.140625" customWidth="1"/>
    <col min="6" max="6" width="16.7109375" customWidth="1"/>
    <col min="7" max="7" width="30.140625" customWidth="1"/>
    <col min="8" max="8" width="19.42578125" customWidth="1"/>
    <col min="9" max="9" width="17.7109375" hidden="1" customWidth="1"/>
    <col min="10" max="11" width="11.140625" customWidth="1"/>
    <col min="12" max="12" width="10.42578125" hidden="1" customWidth="1"/>
    <col min="13" max="13" width="11.7109375" hidden="1" customWidth="1"/>
  </cols>
  <sheetData>
    <row r="1" spans="1:34" ht="18.75" x14ac:dyDescent="0.2">
      <c r="A1" s="1"/>
      <c r="B1" s="1"/>
      <c r="C1" s="1"/>
      <c r="D1" s="1"/>
      <c r="E1" s="1"/>
      <c r="F1" s="1"/>
      <c r="G1" s="1"/>
      <c r="H1" s="1"/>
      <c r="I1" s="74" t="s">
        <v>0</v>
      </c>
      <c r="J1" s="75"/>
      <c r="K1" s="75"/>
      <c r="L1" s="2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42" customHeight="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4"/>
      <c r="AA2" s="4"/>
      <c r="AB2" s="4"/>
      <c r="AC2" s="4"/>
      <c r="AD2" s="4"/>
      <c r="AE2" s="4"/>
      <c r="AF2" s="4"/>
      <c r="AG2" s="4"/>
      <c r="AH2" s="4"/>
    </row>
    <row r="3" spans="1:34" ht="42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7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  <c r="AG3" s="6" t="s">
        <v>33</v>
      </c>
      <c r="AH3" s="6" t="s">
        <v>34</v>
      </c>
    </row>
    <row r="4" spans="1:34" ht="30.75" customHeight="1" x14ac:dyDescent="0.2">
      <c r="A4" s="8">
        <f t="shared" ref="A4:A94" si="0">ROW()-3</f>
        <v>1</v>
      </c>
      <c r="B4" s="9">
        <v>1</v>
      </c>
      <c r="C4" s="9" t="s">
        <v>35</v>
      </c>
      <c r="D4" s="10" t="str">
        <f>VLOOKUP(C4,Data!$B$2:$G$176,3,FALSE)</f>
        <v>V.U ISMAYEL</v>
      </c>
      <c r="E4" s="11" t="str">
        <f>VLOOKUP(C4,Data!$B$2:$G$176,4,FALSE)</f>
        <v>Darul Aman (H),  Vanchimala PO,  Vanchimala (686508) , Elikkulam Panchayath</v>
      </c>
      <c r="F4" s="10" t="str">
        <f>VLOOKUP(C4,Data!$B$2:$G$176,5,FALSE)</f>
        <v xml:space="preserve">Kottayam </v>
      </c>
      <c r="G4" s="9">
        <f>VLOOKUP(C4,Data!$B$2:$G$176,6,FALSE)</f>
        <v>9496432300</v>
      </c>
      <c r="H4" s="9" t="s">
        <v>36</v>
      </c>
      <c r="I4" s="10"/>
      <c r="J4" s="8">
        <f t="shared" ref="J4:J186" si="1">K4+M4*$L$1-U4</f>
        <v>10000</v>
      </c>
      <c r="K4" s="8">
        <v>5000</v>
      </c>
      <c r="L4" s="9">
        <v>30000</v>
      </c>
      <c r="M4" s="9">
        <f t="shared" ref="M4:M186" si="2">L4/6</f>
        <v>5000</v>
      </c>
      <c r="N4" s="9"/>
      <c r="O4" s="9"/>
      <c r="P4" s="9"/>
      <c r="Q4" s="9"/>
      <c r="R4" s="9"/>
      <c r="S4" s="9"/>
      <c r="T4" s="9"/>
      <c r="U4" s="13">
        <f t="shared" ref="U4:U186" si="3">SUM(N4+P4+Q4+R4+S4+T4)</f>
        <v>0</v>
      </c>
      <c r="V4" s="13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ht="30.75" customHeight="1" x14ac:dyDescent="0.2">
      <c r="A5" s="8">
        <f t="shared" si="0"/>
        <v>2</v>
      </c>
      <c r="B5" s="9">
        <v>2</v>
      </c>
      <c r="C5" s="9" t="s">
        <v>37</v>
      </c>
      <c r="D5" s="10" t="str">
        <f>VLOOKUP(C5,Data!$B$2:$G$176,3,FALSE)</f>
        <v>ALI AKBAR P.V</v>
      </c>
      <c r="E5" s="11" t="str">
        <f>VLOOKUP(C5,Data!$B$2:$G$176,4,FALSE)</f>
        <v>Pallikaravalappil,  Wandoor, 8547225367 ,</v>
      </c>
      <c r="F5" s="10" t="str">
        <f>VLOOKUP(C5,Data!$B$2:$G$176,5,FALSE)</f>
        <v xml:space="preserve">Malappuram </v>
      </c>
      <c r="G5" s="9">
        <f>VLOOKUP(C5,Data!$B$2:$G$176,6,FALSE)</f>
        <v>0</v>
      </c>
      <c r="H5" s="9" t="s">
        <v>36</v>
      </c>
      <c r="I5" s="10"/>
      <c r="J5" s="8">
        <f t="shared" si="1"/>
        <v>15000</v>
      </c>
      <c r="K5" s="8">
        <v>10000</v>
      </c>
      <c r="L5" s="9">
        <v>30000</v>
      </c>
      <c r="M5" s="9">
        <f t="shared" si="2"/>
        <v>5000</v>
      </c>
      <c r="N5" s="9"/>
      <c r="O5" s="9"/>
      <c r="P5" s="9"/>
      <c r="Q5" s="9"/>
      <c r="R5" s="9"/>
      <c r="S5" s="9"/>
      <c r="T5" s="9"/>
      <c r="U5" s="13">
        <f t="shared" si="3"/>
        <v>0</v>
      </c>
      <c r="V5" s="1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30.75" customHeight="1" x14ac:dyDescent="0.2">
      <c r="A6" s="8">
        <f t="shared" si="0"/>
        <v>3</v>
      </c>
      <c r="B6" s="9">
        <v>3</v>
      </c>
      <c r="C6" s="9" t="s">
        <v>38</v>
      </c>
      <c r="D6" s="10" t="str">
        <f>VLOOKUP(C6,Data!$B$2:$G$176,3,FALSE)</f>
        <v>ANSARI MI</v>
      </c>
      <c r="E6" s="11" t="str">
        <f>VLOOKUP(C6,Data!$B$2:$G$176,4,FALSE)</f>
        <v>Murickolil  H.Nadackal po Erattopetta kottayam,  Erattupetta, 9961671818 ,</v>
      </c>
      <c r="F6" s="10" t="str">
        <f>VLOOKUP(C6,Data!$B$2:$G$176,5,FALSE)</f>
        <v>Kottayam</v>
      </c>
      <c r="G6" s="9">
        <f>VLOOKUP(C6,Data!$B$2:$G$176,6,FALSE)</f>
        <v>9961671818</v>
      </c>
      <c r="H6" s="9" t="s">
        <v>36</v>
      </c>
      <c r="I6" s="10"/>
      <c r="J6" s="8">
        <f t="shared" si="1"/>
        <v>25000</v>
      </c>
      <c r="K6" s="8">
        <v>20000</v>
      </c>
      <c r="L6" s="9">
        <v>30000</v>
      </c>
      <c r="M6" s="9">
        <f t="shared" si="2"/>
        <v>5000</v>
      </c>
      <c r="N6" s="9"/>
      <c r="O6" s="9"/>
      <c r="P6" s="9"/>
      <c r="Q6" s="9"/>
      <c r="R6" s="9"/>
      <c r="S6" s="9"/>
      <c r="T6" s="9"/>
      <c r="U6" s="13">
        <f t="shared" si="3"/>
        <v>0</v>
      </c>
      <c r="V6" s="1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30.75" customHeight="1" x14ac:dyDescent="0.2">
      <c r="A7" s="8">
        <f t="shared" si="0"/>
        <v>4</v>
      </c>
      <c r="B7" s="9">
        <v>4</v>
      </c>
      <c r="C7" s="9" t="s">
        <v>39</v>
      </c>
      <c r="D7" s="10" t="str">
        <f>VLOOKUP(C7,Data!$B$2:$G$176,3,FALSE)</f>
        <v xml:space="preserve">ABDUL HAKEEM </v>
      </c>
      <c r="E7" s="11" t="str">
        <f>VLOOKUP(C7,Data!$B$2:$G$176,4,FALSE)</f>
        <v>Madathil (H) kanjirappally ,  Kanjirappally , 9037026538 ,</v>
      </c>
      <c r="F7" s="10" t="str">
        <f>VLOOKUP(C7,Data!$B$2:$G$176,5,FALSE)</f>
        <v xml:space="preserve">Kottayam </v>
      </c>
      <c r="G7" s="9">
        <f>VLOOKUP(C7,Data!$B$2:$G$176,6,FALSE)</f>
        <v>0</v>
      </c>
      <c r="H7" s="9" t="s">
        <v>36</v>
      </c>
      <c r="I7" s="10"/>
      <c r="J7" s="8">
        <f t="shared" si="1"/>
        <v>10000</v>
      </c>
      <c r="K7" s="8">
        <v>5000</v>
      </c>
      <c r="L7" s="9">
        <v>30000</v>
      </c>
      <c r="M7" s="9">
        <f t="shared" si="2"/>
        <v>5000</v>
      </c>
      <c r="N7" s="9"/>
      <c r="O7" s="9"/>
      <c r="P7" s="9"/>
      <c r="Q7" s="9"/>
      <c r="R7" s="9"/>
      <c r="S7" s="9"/>
      <c r="T7" s="9"/>
      <c r="U7" s="13">
        <f t="shared" si="3"/>
        <v>0</v>
      </c>
      <c r="V7" s="1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30.75" customHeight="1" x14ac:dyDescent="0.2">
      <c r="A8" s="8">
        <f t="shared" si="0"/>
        <v>5</v>
      </c>
      <c r="B8" s="9">
        <v>5</v>
      </c>
      <c r="C8" s="9" t="s">
        <v>40</v>
      </c>
      <c r="D8" s="10" t="str">
        <f>VLOOKUP(C8,Data!$B$2:$G$176,3,FALSE)</f>
        <v xml:space="preserve">ABDUL HAKKIM OK </v>
      </c>
      <c r="E8" s="11" t="str">
        <f>VLOOKUP(C8,Data!$B$2:$G$176,4,FALSE)</f>
        <v>Urngattiri, Malappuram</v>
      </c>
      <c r="F8" s="10" t="str">
        <f>VLOOKUP(C8,Data!$B$2:$G$176,5,FALSE)</f>
        <v xml:space="preserve">Malappuram </v>
      </c>
      <c r="G8" s="9" t="str">
        <f>VLOOKUP(C8,Data!$B$2:$G$176,6,FALSE)</f>
        <v>9495720921. 8921100921</v>
      </c>
      <c r="H8" s="9" t="s">
        <v>36</v>
      </c>
      <c r="I8" s="10"/>
      <c r="J8" s="8">
        <f t="shared" si="1"/>
        <v>10000</v>
      </c>
      <c r="K8" s="8">
        <v>5000</v>
      </c>
      <c r="L8" s="9">
        <v>30000</v>
      </c>
      <c r="M8" s="9">
        <f t="shared" si="2"/>
        <v>5000</v>
      </c>
      <c r="N8" s="9"/>
      <c r="O8" s="9"/>
      <c r="P8" s="9"/>
      <c r="Q8" s="9"/>
      <c r="R8" s="9"/>
      <c r="S8" s="9"/>
      <c r="T8" s="9"/>
      <c r="U8" s="13">
        <f t="shared" si="3"/>
        <v>0</v>
      </c>
      <c r="V8" s="1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ht="30.75" customHeight="1" x14ac:dyDescent="0.2">
      <c r="A9" s="8">
        <f t="shared" si="0"/>
        <v>6</v>
      </c>
      <c r="B9" s="9">
        <v>6</v>
      </c>
      <c r="C9" s="9" t="s">
        <v>41</v>
      </c>
      <c r="D9" s="10" t="str">
        <f>VLOOKUP(C9,Data!$B$2:$G$176,3,FALSE)</f>
        <v>ABDULLATHEEF PK</v>
      </c>
      <c r="E9" s="11" t="str">
        <f>VLOOKUP(C9,Data!$B$2:$G$176,4,FALSE)</f>
        <v xml:space="preserve">Pokkakkilath (h) kadappuram,  chavakkad,  Thrissur  , Kadappuram </v>
      </c>
      <c r="F9" s="10" t="str">
        <f>VLOOKUP(C9,Data!$B$2:$G$176,5,FALSE)</f>
        <v xml:space="preserve">Thrissur </v>
      </c>
      <c r="G9" s="9">
        <f>VLOOKUP(C9,Data!$B$2:$G$176,6,FALSE)</f>
        <v>9947258656</v>
      </c>
      <c r="H9" s="9" t="s">
        <v>36</v>
      </c>
      <c r="I9" s="10"/>
      <c r="J9" s="8">
        <f t="shared" si="1"/>
        <v>5000</v>
      </c>
      <c r="K9" s="8">
        <v>0</v>
      </c>
      <c r="L9" s="9">
        <v>30000</v>
      </c>
      <c r="M9" s="9">
        <f t="shared" si="2"/>
        <v>5000</v>
      </c>
      <c r="N9" s="9"/>
      <c r="O9" s="9"/>
      <c r="P9" s="9"/>
      <c r="Q9" s="9"/>
      <c r="R9" s="9"/>
      <c r="S9" s="9"/>
      <c r="T9" s="9"/>
      <c r="U9" s="13">
        <f t="shared" si="3"/>
        <v>0</v>
      </c>
      <c r="V9" s="1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ht="30.75" customHeight="1" x14ac:dyDescent="0.2">
      <c r="A10" s="8">
        <f t="shared" si="0"/>
        <v>7</v>
      </c>
      <c r="B10" s="9">
        <v>7</v>
      </c>
      <c r="C10" s="9" t="s">
        <v>42</v>
      </c>
      <c r="D10" s="10" t="str">
        <f>VLOOKUP(C10,Data!$B$2:$G$176,3,FALSE)</f>
        <v>ASHRAF CH</v>
      </c>
      <c r="E10" s="11" t="str">
        <f>VLOOKUP(C10,Data!$B$2:$G$176,4,FALSE)</f>
        <v>Thirurkad PO,  Perinthalmanna,  ,</v>
      </c>
      <c r="F10" s="10" t="str">
        <f>VLOOKUP(C10,Data!$B$2:$G$176,5,FALSE)</f>
        <v>Malappuram</v>
      </c>
      <c r="G10" s="9">
        <f>VLOOKUP(C10,Data!$B$2:$G$176,6,FALSE)</f>
        <v>9846302863</v>
      </c>
      <c r="H10" s="9" t="s">
        <v>36</v>
      </c>
      <c r="I10" s="10"/>
      <c r="J10" s="8">
        <f t="shared" si="1"/>
        <v>25000</v>
      </c>
      <c r="K10" s="8">
        <v>20000</v>
      </c>
      <c r="L10" s="9">
        <v>30000</v>
      </c>
      <c r="M10" s="9">
        <f t="shared" si="2"/>
        <v>5000</v>
      </c>
      <c r="N10" s="9"/>
      <c r="O10" s="9"/>
      <c r="P10" s="9"/>
      <c r="Q10" s="9"/>
      <c r="R10" s="9"/>
      <c r="S10" s="9"/>
      <c r="T10" s="9"/>
      <c r="U10" s="13">
        <f t="shared" si="3"/>
        <v>0</v>
      </c>
      <c r="V10" s="1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ht="30.75" customHeight="1" x14ac:dyDescent="0.2">
      <c r="A11" s="8">
        <f t="shared" si="0"/>
        <v>8</v>
      </c>
      <c r="B11" s="9">
        <v>8</v>
      </c>
      <c r="C11" s="9" t="s">
        <v>43</v>
      </c>
      <c r="D11" s="14" t="str">
        <f>VLOOKUP(C11,Data!$B$2:$G$176,3,FALSE)</f>
        <v>KASIM.KP</v>
      </c>
      <c r="E11" s="11" t="str">
        <f>VLOOKUP(C11,Data!$B$2:$G$176,4,FALSE)</f>
        <v>Rafeena’s Kannavam (po) 670650,  Chittariparamba,  ,</v>
      </c>
      <c r="F11" s="10" t="str">
        <f>VLOOKUP(C11,Data!$B$2:$G$176,5,FALSE)</f>
        <v xml:space="preserve">Kannur </v>
      </c>
      <c r="G11" s="9">
        <f>VLOOKUP(C11,Data!$B$2:$G$176,6,FALSE)</f>
        <v>9605304984</v>
      </c>
      <c r="H11" s="9" t="s">
        <v>36</v>
      </c>
      <c r="I11" s="10"/>
      <c r="J11" s="8">
        <f t="shared" si="1"/>
        <v>45000</v>
      </c>
      <c r="K11" s="8">
        <v>40000</v>
      </c>
      <c r="L11" s="9">
        <v>30000</v>
      </c>
      <c r="M11" s="9">
        <f t="shared" si="2"/>
        <v>5000</v>
      </c>
      <c r="N11" s="9"/>
      <c r="O11" s="9"/>
      <c r="P11" s="9"/>
      <c r="Q11" s="9"/>
      <c r="R11" s="9"/>
      <c r="S11" s="9"/>
      <c r="T11" s="9"/>
      <c r="U11" s="13">
        <f t="shared" si="3"/>
        <v>0</v>
      </c>
      <c r="V11" s="1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ht="30.75" customHeight="1" x14ac:dyDescent="0.2">
      <c r="A12" s="8">
        <f t="shared" si="0"/>
        <v>9</v>
      </c>
      <c r="B12" s="9">
        <v>9</v>
      </c>
      <c r="C12" s="9" t="s">
        <v>44</v>
      </c>
      <c r="D12" s="10" t="str">
        <f>VLOOKUP(C12,Data!$B$2:$G$176,3,FALSE)</f>
        <v>ABDULRAHMAN PM</v>
      </c>
      <c r="E12" s="11" t="str">
        <f>VLOOKUP(C12,Data!$B$2:$G$176,4,FALSE)</f>
        <v>Vazhakkulam</v>
      </c>
      <c r="F12" s="10" t="str">
        <f>VLOOKUP(C12,Data!$B$2:$G$176,5,FALSE)</f>
        <v xml:space="preserve">Ernakulam </v>
      </c>
      <c r="G12" s="9">
        <f>VLOOKUP(C12,Data!$B$2:$G$176,6,FALSE)</f>
        <v>9745567659</v>
      </c>
      <c r="H12" s="9" t="s">
        <v>36</v>
      </c>
      <c r="I12" s="10"/>
      <c r="J12" s="8">
        <f t="shared" si="1"/>
        <v>35000</v>
      </c>
      <c r="K12" s="8">
        <v>30000</v>
      </c>
      <c r="L12" s="9">
        <v>30000</v>
      </c>
      <c r="M12" s="9">
        <f t="shared" si="2"/>
        <v>5000</v>
      </c>
      <c r="N12" s="9"/>
      <c r="O12" s="9"/>
      <c r="P12" s="9"/>
      <c r="Q12" s="9"/>
      <c r="R12" s="9"/>
      <c r="S12" s="9"/>
      <c r="T12" s="9"/>
      <c r="U12" s="13">
        <f t="shared" si="3"/>
        <v>0</v>
      </c>
      <c r="V12" s="1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ht="30.75" customHeight="1" x14ac:dyDescent="0.2">
      <c r="A13" s="8">
        <f t="shared" si="0"/>
        <v>10</v>
      </c>
      <c r="B13" s="9">
        <v>10</v>
      </c>
      <c r="C13" s="9" t="s">
        <v>45</v>
      </c>
      <c r="D13" s="10" t="str">
        <f>VLOOKUP(C13,Data!$B$2:$G$176,3,FALSE)</f>
        <v>ABDUL JALEEL CHEERAN THODIKA</v>
      </c>
      <c r="E13" s="11" t="str">
        <f>VLOOKUP(C13,Data!$B$2:$G$176,4,FALSE)</f>
        <v>Kozhakkodan chalil,  Poovathikkal po,  Malappuram dt , Kerala st. 673639</v>
      </c>
      <c r="F13" s="10" t="str">
        <f>VLOOKUP(C13,Data!$B$2:$G$176,5,FALSE)</f>
        <v>Malappuram</v>
      </c>
      <c r="G13" s="9" t="str">
        <f>VLOOKUP(C13,Data!$B$2:$G$176,6,FALSE)</f>
        <v xml:space="preserve"> 9562487231
8139817331</v>
      </c>
      <c r="H13" s="9" t="s">
        <v>36</v>
      </c>
      <c r="I13" s="10"/>
      <c r="J13" s="8">
        <f t="shared" si="1"/>
        <v>15000</v>
      </c>
      <c r="K13" s="8">
        <v>10000</v>
      </c>
      <c r="L13" s="9">
        <v>30000</v>
      </c>
      <c r="M13" s="9">
        <f t="shared" si="2"/>
        <v>5000</v>
      </c>
      <c r="N13" s="9"/>
      <c r="O13" s="9"/>
      <c r="P13" s="9"/>
      <c r="Q13" s="9"/>
      <c r="R13" s="9"/>
      <c r="S13" s="9"/>
      <c r="T13" s="9"/>
      <c r="U13" s="13">
        <f t="shared" si="3"/>
        <v>0</v>
      </c>
      <c r="V13" s="1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30.75" customHeight="1" x14ac:dyDescent="0.2">
      <c r="A14" s="8">
        <f t="shared" si="0"/>
        <v>11</v>
      </c>
      <c r="B14" s="9">
        <v>11</v>
      </c>
      <c r="C14" s="9" t="s">
        <v>46</v>
      </c>
      <c r="D14" s="10" t="str">
        <f>VLOOKUP(C14,Data!$B$2:$G$176,3,FALSE)</f>
        <v>MIRSHAD. A</v>
      </c>
      <c r="E14" s="11" t="str">
        <f>VLOOKUP(C14,Data!$B$2:$G$176,4,FALSE)</f>
        <v>Thadatharikathu vilayil Veedu melekuttimoodu vellumannadi p.o venjarmoodu ,  Vamanapuram,  ,</v>
      </c>
      <c r="F14" s="10" t="str">
        <f>VLOOKUP(C14,Data!$B$2:$G$176,5,FALSE)</f>
        <v xml:space="preserve">Thiruvanathapuram </v>
      </c>
      <c r="G14" s="9">
        <f>VLOOKUP(C14,Data!$B$2:$G$176,6,FALSE)</f>
        <v>8129655801</v>
      </c>
      <c r="H14" s="9" t="s">
        <v>36</v>
      </c>
      <c r="I14" s="10"/>
      <c r="J14" s="8">
        <f t="shared" si="1"/>
        <v>45000</v>
      </c>
      <c r="K14" s="8">
        <v>40000</v>
      </c>
      <c r="L14" s="9">
        <v>30000</v>
      </c>
      <c r="M14" s="9">
        <f t="shared" si="2"/>
        <v>5000</v>
      </c>
      <c r="N14" s="9"/>
      <c r="O14" s="9"/>
      <c r="P14" s="9"/>
      <c r="Q14" s="9"/>
      <c r="R14" s="9"/>
      <c r="S14" s="9"/>
      <c r="T14" s="9"/>
      <c r="U14" s="13">
        <f t="shared" si="3"/>
        <v>0</v>
      </c>
      <c r="V14" s="1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30.75" customHeight="1" x14ac:dyDescent="0.2">
      <c r="A15" s="8">
        <f t="shared" si="0"/>
        <v>12</v>
      </c>
      <c r="B15" s="9">
        <v>12</v>
      </c>
      <c r="C15" s="9" t="s">
        <v>47</v>
      </c>
      <c r="D15" s="10" t="str">
        <f>VLOOKUP(C15,Data!$B$2:$G$176,3,FALSE)</f>
        <v xml:space="preserve">ASHRAF AK </v>
      </c>
      <c r="E15" s="11" t="str">
        <f>VLOOKUP(C15,Data!$B$2:$G$176,4,FALSE)</f>
        <v>lakandi house kattayad po vellamunda Wayanad 670731,  Mananthavady, ,</v>
      </c>
      <c r="F15" s="10" t="str">
        <f>VLOOKUP(C15,Data!$B$2:$G$176,5,FALSE)</f>
        <v>Wayanad</v>
      </c>
      <c r="G15" s="9">
        <f>VLOOKUP(C15,Data!$B$2:$G$176,6,FALSE)</f>
        <v>9188500411</v>
      </c>
      <c r="H15" s="9" t="s">
        <v>36</v>
      </c>
      <c r="I15" s="10"/>
      <c r="J15" s="8">
        <f t="shared" si="1"/>
        <v>15000</v>
      </c>
      <c r="K15" s="8">
        <v>10000</v>
      </c>
      <c r="L15" s="9">
        <v>30000</v>
      </c>
      <c r="M15" s="9">
        <f t="shared" si="2"/>
        <v>5000</v>
      </c>
      <c r="N15" s="9"/>
      <c r="O15" s="9"/>
      <c r="P15" s="9"/>
      <c r="Q15" s="9"/>
      <c r="R15" s="9"/>
      <c r="S15" s="9"/>
      <c r="T15" s="9"/>
      <c r="U15" s="13">
        <f t="shared" si="3"/>
        <v>0</v>
      </c>
      <c r="V15" s="1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ht="30.75" customHeight="1" x14ac:dyDescent="0.2">
      <c r="A16" s="8">
        <f t="shared" si="0"/>
        <v>13</v>
      </c>
      <c r="B16" s="9">
        <v>13</v>
      </c>
      <c r="C16" s="9" t="s">
        <v>48</v>
      </c>
      <c r="D16" s="10" t="str">
        <f>VLOOKUP(C16,Data!$B$2:$G$176,3,FALSE)</f>
        <v>ABDUL RASHEED  K B</v>
      </c>
      <c r="E16" s="11" t="str">
        <f>VLOOKUP(C16,Data!$B$2:$G$176,4,FALSE)</f>
        <v>Karengel  House,  pazhunnana,  Chemmanthatta PO ,680501</v>
      </c>
      <c r="F16" s="10" t="str">
        <f>VLOOKUP(C16,Data!$B$2:$G$176,5,FALSE)</f>
        <v>Thrissur</v>
      </c>
      <c r="G16" s="9">
        <f>VLOOKUP(C16,Data!$B$2:$G$176,6,FALSE)</f>
        <v>9847276795</v>
      </c>
      <c r="H16" s="9" t="s">
        <v>36</v>
      </c>
      <c r="I16" s="10"/>
      <c r="J16" s="8">
        <f t="shared" si="1"/>
        <v>15000</v>
      </c>
      <c r="K16" s="8">
        <v>10000</v>
      </c>
      <c r="L16" s="9">
        <v>30000</v>
      </c>
      <c r="M16" s="9">
        <f t="shared" si="2"/>
        <v>5000</v>
      </c>
      <c r="N16" s="9"/>
      <c r="O16" s="9"/>
      <c r="P16" s="9"/>
      <c r="Q16" s="9"/>
      <c r="R16" s="9"/>
      <c r="S16" s="9"/>
      <c r="T16" s="9"/>
      <c r="U16" s="13">
        <f t="shared" si="3"/>
        <v>0</v>
      </c>
      <c r="V16" s="1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4" ht="30.75" customHeight="1" x14ac:dyDescent="0.2">
      <c r="A17" s="8">
        <f t="shared" si="0"/>
        <v>14</v>
      </c>
      <c r="B17" s="9">
        <v>14</v>
      </c>
      <c r="C17" s="9" t="s">
        <v>49</v>
      </c>
      <c r="D17" s="10" t="str">
        <f>VLOOKUP(C17,Data!$B$2:$G$176,3,FALSE)</f>
        <v>ANWAR SADATH C</v>
      </c>
      <c r="E17" s="11" t="str">
        <f>VLOOKUP(C17,Data!$B$2:$G$176,4,FALSE)</f>
        <v>ARODIYIL Valiyaparambil,  karad paramba,  Kondotty  ,</v>
      </c>
      <c r="F17" s="10" t="str">
        <f>VLOOKUP(C17,Data!$B$2:$G$176,5,FALSE)</f>
        <v xml:space="preserve">Malappuram </v>
      </c>
      <c r="G17" s="9">
        <f>VLOOKUP(C17,Data!$B$2:$G$176,6,FALSE)</f>
        <v>9846403131</v>
      </c>
      <c r="H17" s="9" t="s">
        <v>36</v>
      </c>
      <c r="I17" s="10"/>
      <c r="J17" s="8">
        <f t="shared" si="1"/>
        <v>20000</v>
      </c>
      <c r="K17" s="8">
        <v>15000</v>
      </c>
      <c r="L17" s="9">
        <v>30000</v>
      </c>
      <c r="M17" s="9">
        <f t="shared" si="2"/>
        <v>5000</v>
      </c>
      <c r="N17" s="9"/>
      <c r="O17" s="9"/>
      <c r="P17" s="9"/>
      <c r="Q17" s="9"/>
      <c r="R17" s="9"/>
      <c r="S17" s="9"/>
      <c r="T17" s="9"/>
      <c r="U17" s="13">
        <f t="shared" si="3"/>
        <v>0</v>
      </c>
      <c r="V17" s="1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1:34" ht="30.75" customHeight="1" x14ac:dyDescent="0.2">
      <c r="A18" s="8">
        <f t="shared" si="0"/>
        <v>15</v>
      </c>
      <c r="B18" s="9">
        <v>15</v>
      </c>
      <c r="C18" s="9" t="s">
        <v>50</v>
      </c>
      <c r="D18" s="10" t="str">
        <f>VLOOKUP(C18,Data!$B$2:$G$176,3,FALSE)</f>
        <v>MUHAMMAD RASHEED.M</v>
      </c>
      <c r="E18" s="11" t="str">
        <f>VLOOKUP(C18,Data!$B$2:$G$176,4,FALSE)</f>
        <v>Mannukukunnan H,  vettathur,  ,</v>
      </c>
      <c r="F18" s="10" t="str">
        <f>VLOOKUP(C18,Data!$B$2:$G$176,5,FALSE)</f>
        <v xml:space="preserve">Malapuram </v>
      </c>
      <c r="G18" s="9">
        <f>VLOOKUP(C18,Data!$B$2:$G$176,6,FALSE)</f>
        <v>9495360199</v>
      </c>
      <c r="H18" s="9" t="s">
        <v>36</v>
      </c>
      <c r="I18" s="10"/>
      <c r="J18" s="8">
        <f t="shared" si="1"/>
        <v>10000</v>
      </c>
      <c r="K18" s="8">
        <v>5000</v>
      </c>
      <c r="L18" s="9">
        <v>30000</v>
      </c>
      <c r="M18" s="9">
        <f t="shared" si="2"/>
        <v>5000</v>
      </c>
      <c r="N18" s="9"/>
      <c r="O18" s="9"/>
      <c r="P18" s="9"/>
      <c r="Q18" s="9"/>
      <c r="R18" s="9"/>
      <c r="S18" s="9"/>
      <c r="T18" s="9"/>
      <c r="U18" s="13">
        <f t="shared" si="3"/>
        <v>0</v>
      </c>
      <c r="V18" s="1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34" ht="30.75" customHeight="1" x14ac:dyDescent="0.2">
      <c r="A19" s="8">
        <f t="shared" si="0"/>
        <v>16</v>
      </c>
      <c r="B19" s="9">
        <v>16</v>
      </c>
      <c r="C19" s="9" t="s">
        <v>51</v>
      </c>
      <c r="D19" s="10" t="str">
        <f>VLOOKUP(C19,Data!$B$2:$G$176,3,FALSE)</f>
        <v>SIRAJ KOTTEKARAN</v>
      </c>
      <c r="E19" s="11" t="str">
        <f>VLOOKUP(C19,Data!$B$2:$G$176,4,FALSE)</f>
        <v>Puthanpeedikayil po.pannyanore,  Pannyanore,  ,</v>
      </c>
      <c r="F19" s="10" t="str">
        <f>VLOOKUP(C19,Data!$B$2:$G$176,5,FALSE)</f>
        <v>Kannur</v>
      </c>
      <c r="G19" s="9">
        <f>VLOOKUP(C19,Data!$B$2:$G$176,6,FALSE)</f>
        <v>9847846670</v>
      </c>
      <c r="H19" s="9" t="s">
        <v>36</v>
      </c>
      <c r="I19" s="10"/>
      <c r="J19" s="8">
        <f t="shared" si="1"/>
        <v>50000</v>
      </c>
      <c r="K19" s="8">
        <v>45000</v>
      </c>
      <c r="L19" s="9">
        <v>30000</v>
      </c>
      <c r="M19" s="9">
        <f t="shared" si="2"/>
        <v>5000</v>
      </c>
      <c r="N19" s="9"/>
      <c r="O19" s="9"/>
      <c r="P19" s="9"/>
      <c r="Q19" s="9"/>
      <c r="R19" s="9"/>
      <c r="S19" s="9"/>
      <c r="T19" s="9"/>
      <c r="U19" s="13">
        <f t="shared" si="3"/>
        <v>0</v>
      </c>
      <c r="V19" s="1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4" ht="30.75" customHeight="1" x14ac:dyDescent="0.2">
      <c r="A20" s="8">
        <f t="shared" si="0"/>
        <v>17</v>
      </c>
      <c r="B20" s="9">
        <v>17</v>
      </c>
      <c r="C20" s="9" t="s">
        <v>52</v>
      </c>
      <c r="D20" s="10" t="str">
        <f>VLOOKUP(C20,Data!$B$2:$G$176,3,FALSE)</f>
        <v>SUBAIR V.A</v>
      </c>
      <c r="E20" s="11" t="str">
        <f>VLOOKUP(C20,Data!$B$2:$G$176,4,FALSE)</f>
        <v xml:space="preserve">VELUTHEDATH HOUSE, KARIPPASSERY MUGAL, VADACODE PO ,ERNAKULAM </v>
      </c>
      <c r="F20" s="10" t="str">
        <f>VLOOKUP(C20,Data!$B$2:$G$176,5,FALSE)</f>
        <v xml:space="preserve">Ernakulam </v>
      </c>
      <c r="G20" s="9">
        <f>VLOOKUP(C20,Data!$B$2:$G$176,6,FALSE)</f>
        <v>9188347949</v>
      </c>
      <c r="H20" s="9" t="s">
        <v>36</v>
      </c>
      <c r="I20" s="10"/>
      <c r="J20" s="8">
        <f t="shared" si="1"/>
        <v>10000</v>
      </c>
      <c r="K20" s="8">
        <v>5000</v>
      </c>
      <c r="L20" s="9">
        <v>30000</v>
      </c>
      <c r="M20" s="9">
        <f t="shared" si="2"/>
        <v>5000</v>
      </c>
      <c r="N20" s="9"/>
      <c r="O20" s="9"/>
      <c r="P20" s="9"/>
      <c r="Q20" s="9"/>
      <c r="R20" s="9"/>
      <c r="S20" s="9"/>
      <c r="T20" s="9"/>
      <c r="U20" s="13">
        <f t="shared" si="3"/>
        <v>0</v>
      </c>
      <c r="V20" s="1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1:34" ht="30.75" customHeight="1" x14ac:dyDescent="0.2">
      <c r="A21" s="8">
        <f t="shared" si="0"/>
        <v>18</v>
      </c>
      <c r="B21" s="9">
        <v>18</v>
      </c>
      <c r="C21" s="9" t="s">
        <v>53</v>
      </c>
      <c r="D21" s="10" t="str">
        <f>VLOOKUP(C21,Data!$B$2:$G$176,3,FALSE)</f>
        <v>ABDUL KADHAR</v>
      </c>
      <c r="E21" s="11" t="str">
        <f>VLOOKUP(C21,Data!$B$2:$G$176,4,FALSE)</f>
        <v>Kanaran kandi,   Puthuppadi,  ,</v>
      </c>
      <c r="F21" s="10" t="str">
        <f>VLOOKUP(C21,Data!$B$2:$G$176,5,FALSE)</f>
        <v xml:space="preserve">Kozhikode </v>
      </c>
      <c r="G21" s="9">
        <f>VLOOKUP(C21,Data!$B$2:$G$176,6,FALSE)</f>
        <v>9946850916</v>
      </c>
      <c r="H21" s="9" t="s">
        <v>36</v>
      </c>
      <c r="I21" s="10"/>
      <c r="J21" s="8">
        <f t="shared" si="1"/>
        <v>35000</v>
      </c>
      <c r="K21" s="8">
        <v>30000</v>
      </c>
      <c r="L21" s="9">
        <v>30000</v>
      </c>
      <c r="M21" s="9">
        <f t="shared" si="2"/>
        <v>5000</v>
      </c>
      <c r="N21" s="9"/>
      <c r="O21" s="9"/>
      <c r="P21" s="9"/>
      <c r="Q21" s="9"/>
      <c r="R21" s="9"/>
      <c r="S21" s="9"/>
      <c r="T21" s="9"/>
      <c r="U21" s="13">
        <f t="shared" si="3"/>
        <v>0</v>
      </c>
      <c r="V21" s="1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ht="30.75" customHeight="1" x14ac:dyDescent="0.2">
      <c r="A22" s="8">
        <f t="shared" si="0"/>
        <v>19</v>
      </c>
      <c r="B22" s="9">
        <v>19</v>
      </c>
      <c r="C22" s="9" t="s">
        <v>54</v>
      </c>
      <c r="D22" s="10" t="str">
        <f>VLOOKUP(C22,Data!$B$2:$G$176,3,FALSE)</f>
        <v>BASHEER. P. K</v>
      </c>
      <c r="E22" s="11" t="str">
        <f>VLOOKUP(C22,Data!$B$2:$G$176,4,FALSE)</f>
        <v xml:space="preserve">Kattiparambil(H)Elookkara Muppathadam P. O Aluva,  Kadungalloor , </v>
      </c>
      <c r="F22" s="10" t="str">
        <f>VLOOKUP(C22,Data!$B$2:$G$176,5,FALSE)</f>
        <v>Ernakulam</v>
      </c>
      <c r="G22" s="9">
        <f>VLOOKUP(C22,Data!$B$2:$G$176,6,FALSE)</f>
        <v>8281628900</v>
      </c>
      <c r="H22" s="9" t="s">
        <v>36</v>
      </c>
      <c r="I22" s="10"/>
      <c r="J22" s="8">
        <f t="shared" si="1"/>
        <v>5000</v>
      </c>
      <c r="K22" s="8">
        <v>0</v>
      </c>
      <c r="L22" s="9">
        <v>30000</v>
      </c>
      <c r="M22" s="9">
        <f t="shared" si="2"/>
        <v>5000</v>
      </c>
      <c r="N22" s="9"/>
      <c r="O22" s="9"/>
      <c r="P22" s="9"/>
      <c r="Q22" s="9"/>
      <c r="R22" s="9"/>
      <c r="S22" s="9"/>
      <c r="T22" s="9"/>
      <c r="U22" s="13">
        <f t="shared" si="3"/>
        <v>0</v>
      </c>
      <c r="V22" s="1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1:34" ht="30.75" customHeight="1" x14ac:dyDescent="0.2">
      <c r="A23" s="8">
        <f t="shared" si="0"/>
        <v>20</v>
      </c>
      <c r="B23" s="9">
        <v>20</v>
      </c>
      <c r="C23" s="9" t="s">
        <v>55</v>
      </c>
      <c r="D23" s="10" t="str">
        <f>VLOOKUP(C23,Data!$B$2:$G$176,3,FALSE)</f>
        <v>ABDUL BASHEER</v>
      </c>
      <c r="E23" s="11" t="str">
        <f>VLOOKUP(C23,Data!$B$2:$G$176,4,FALSE)</f>
        <v>Kalathum padiyan,  Mankad,  ,</v>
      </c>
      <c r="F23" s="10" t="str">
        <f>VLOOKUP(C23,Data!$B$2:$G$176,5,FALSE)</f>
        <v>Malappuram</v>
      </c>
      <c r="G23" s="9">
        <f>VLOOKUP(C23,Data!$B$2:$G$176,6,FALSE)</f>
        <v>9633764303</v>
      </c>
      <c r="H23" s="9" t="s">
        <v>36</v>
      </c>
      <c r="I23" s="10"/>
      <c r="J23" s="8">
        <f t="shared" si="1"/>
        <v>15000</v>
      </c>
      <c r="K23" s="8">
        <v>10000</v>
      </c>
      <c r="L23" s="9">
        <v>30000</v>
      </c>
      <c r="M23" s="9">
        <f t="shared" si="2"/>
        <v>5000</v>
      </c>
      <c r="N23" s="9"/>
      <c r="O23" s="9"/>
      <c r="P23" s="9"/>
      <c r="Q23" s="9"/>
      <c r="R23" s="9"/>
      <c r="S23" s="9"/>
      <c r="T23" s="9"/>
      <c r="U23" s="13">
        <f t="shared" si="3"/>
        <v>0</v>
      </c>
      <c r="V23" s="1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4" ht="30.75" customHeight="1" x14ac:dyDescent="0.2">
      <c r="A24" s="8">
        <f t="shared" si="0"/>
        <v>21</v>
      </c>
      <c r="B24" s="9">
        <v>21</v>
      </c>
      <c r="C24" s="9" t="s">
        <v>56</v>
      </c>
      <c r="D24" s="10" t="str">
        <f>VLOOKUP(C24,Data!$B$2:$G$176,3,FALSE)</f>
        <v>ABDUL BASHEER  KT</v>
      </c>
      <c r="E24" s="11" t="str">
        <f>VLOOKUP(C24,Data!$B$2:$G$176,4,FALSE)</f>
        <v>KADAN THODI HOUSE,  THONIKKARA,  THIRURKAD PO , PIN 679321</v>
      </c>
      <c r="F24" s="10" t="str">
        <f>VLOOKUP(C24,Data!$B$2:$G$176,5,FALSE)</f>
        <v xml:space="preserve">MALAPPURAM </v>
      </c>
      <c r="G24" s="9">
        <f>VLOOKUP(C24,Data!$B$2:$G$176,6,FALSE)</f>
        <v>8078356241</v>
      </c>
      <c r="H24" s="9" t="s">
        <v>36</v>
      </c>
      <c r="I24" s="10"/>
      <c r="J24" s="8">
        <f t="shared" si="1"/>
        <v>5000</v>
      </c>
      <c r="K24" s="8">
        <v>0</v>
      </c>
      <c r="L24" s="9">
        <v>30000</v>
      </c>
      <c r="M24" s="9">
        <f t="shared" si="2"/>
        <v>5000</v>
      </c>
      <c r="N24" s="9"/>
      <c r="O24" s="9"/>
      <c r="P24" s="9"/>
      <c r="Q24" s="9"/>
      <c r="R24" s="9"/>
      <c r="S24" s="9"/>
      <c r="T24" s="9"/>
      <c r="U24" s="13">
        <f t="shared" si="3"/>
        <v>0</v>
      </c>
      <c r="V24" s="1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4" ht="30.75" customHeight="1" x14ac:dyDescent="0.2">
      <c r="A25" s="8">
        <f t="shared" si="0"/>
        <v>22</v>
      </c>
      <c r="B25" s="9">
        <v>22</v>
      </c>
      <c r="C25" s="9" t="s">
        <v>57</v>
      </c>
      <c r="D25" s="10" t="str">
        <f>VLOOKUP(C25,Data!$B$2:$G$176,3,FALSE)</f>
        <v>NAZIR P</v>
      </c>
      <c r="E25" s="11" t="str">
        <f>VLOOKUP(C25,Data!$B$2:$G$176,4,FALSE)</f>
        <v>ASYAS,  NEAR MGGA COLLEGE,  CHALAKKARA , MAHE</v>
      </c>
      <c r="F25" s="10" t="str">
        <f>VLOOKUP(C25,Data!$B$2:$G$176,5,FALSE)</f>
        <v>Mahe</v>
      </c>
      <c r="G25" s="9" t="str">
        <f>VLOOKUP(C25,Data!$B$2:$G$176,6,FALSE)</f>
        <v xml:space="preserve"> 7012742084. 8015384390</v>
      </c>
      <c r="H25" s="9" t="s">
        <v>36</v>
      </c>
      <c r="I25" s="10"/>
      <c r="J25" s="8">
        <f t="shared" si="1"/>
        <v>15000</v>
      </c>
      <c r="K25" s="8">
        <v>10000</v>
      </c>
      <c r="L25" s="9">
        <v>30000</v>
      </c>
      <c r="M25" s="9">
        <f t="shared" si="2"/>
        <v>5000</v>
      </c>
      <c r="N25" s="9"/>
      <c r="O25" s="9"/>
      <c r="P25" s="9"/>
      <c r="Q25" s="9"/>
      <c r="R25" s="9"/>
      <c r="S25" s="9"/>
      <c r="T25" s="9"/>
      <c r="U25" s="13">
        <f t="shared" si="3"/>
        <v>0</v>
      </c>
      <c r="V25" s="13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4" ht="30.75" customHeight="1" x14ac:dyDescent="0.2">
      <c r="A26" s="8">
        <f t="shared" si="0"/>
        <v>23</v>
      </c>
      <c r="B26" s="9"/>
      <c r="C26" s="9" t="s">
        <v>58</v>
      </c>
      <c r="D26" s="10">
        <f>VLOOKUP(C26,Data!$B$2:$G$176,3,FALSE)</f>
        <v>0</v>
      </c>
      <c r="E26" s="11" t="str">
        <f>VLOOKUP(C26,Data!$B$2:$G$176,4,FALSE)</f>
        <v/>
      </c>
      <c r="F26" s="10">
        <f>VLOOKUP(C26,Data!$B$2:$G$176,5,FALSE)</f>
        <v>0</v>
      </c>
      <c r="G26" s="9" t="str">
        <f>VLOOKUP(C26,Data!$B$2:$G$176,6,FALSE)</f>
        <v/>
      </c>
      <c r="H26" s="9" t="s">
        <v>59</v>
      </c>
      <c r="I26" s="10"/>
      <c r="J26" s="8">
        <f t="shared" si="1"/>
        <v>10000</v>
      </c>
      <c r="K26" s="8">
        <v>5000</v>
      </c>
      <c r="L26" s="9">
        <v>30000</v>
      </c>
      <c r="M26" s="9">
        <f t="shared" si="2"/>
        <v>5000</v>
      </c>
      <c r="N26" s="9"/>
      <c r="O26" s="9"/>
      <c r="P26" s="9"/>
      <c r="Q26" s="9"/>
      <c r="R26" s="9"/>
      <c r="S26" s="9"/>
      <c r="T26" s="9"/>
      <c r="U26" s="13">
        <f t="shared" si="3"/>
        <v>0</v>
      </c>
      <c r="V26" s="13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4" ht="30.75" customHeight="1" x14ac:dyDescent="0.2">
      <c r="A27" s="8">
        <f t="shared" si="0"/>
        <v>24</v>
      </c>
      <c r="B27" s="9"/>
      <c r="C27" s="9" t="s">
        <v>60</v>
      </c>
      <c r="D27" s="10" t="str">
        <f>VLOOKUP(C27,Data!$B$2:$G$176,3,FALSE)</f>
        <v>SAIFUDHEEN TA</v>
      </c>
      <c r="E27" s="11" t="str">
        <f>VLOOKUP(C27,Data!$B$2:$G$176,4,FALSE)</f>
        <v>Thathampara (h)nadackal p. o erattupetta,  Erattupetta,  ,</v>
      </c>
      <c r="F27" s="10" t="str">
        <f>VLOOKUP(C27,Data!$B$2:$G$176,5,FALSE)</f>
        <v xml:space="preserve">Kottayam </v>
      </c>
      <c r="G27" s="9">
        <f>VLOOKUP(C27,Data!$B$2:$G$176,6,FALSE)</f>
        <v>8281750889</v>
      </c>
      <c r="H27" s="9" t="s">
        <v>59</v>
      </c>
      <c r="I27" s="10"/>
      <c r="J27" s="8">
        <f t="shared" si="1"/>
        <v>10000</v>
      </c>
      <c r="K27" s="8">
        <v>5000</v>
      </c>
      <c r="L27" s="9">
        <v>30000</v>
      </c>
      <c r="M27" s="9">
        <f t="shared" si="2"/>
        <v>5000</v>
      </c>
      <c r="N27" s="9"/>
      <c r="O27" s="9"/>
      <c r="P27" s="9"/>
      <c r="Q27" s="9"/>
      <c r="R27" s="9"/>
      <c r="S27" s="9"/>
      <c r="T27" s="9"/>
      <c r="U27" s="13">
        <f t="shared" si="3"/>
        <v>0</v>
      </c>
      <c r="V27" s="13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ht="30.75" customHeight="1" x14ac:dyDescent="0.2">
      <c r="A28" s="8">
        <f t="shared" si="0"/>
        <v>25</v>
      </c>
      <c r="B28" s="9"/>
      <c r="C28" s="9" t="s">
        <v>61</v>
      </c>
      <c r="D28" s="10" t="str">
        <f>VLOOKUP(C28,Data!$B$2:$G$176,3,FALSE)</f>
        <v>ABDUL GAFOOR.M</v>
      </c>
      <c r="E28" s="11" t="str">
        <f>VLOOKUP(C28,Data!$B$2:$G$176,4,FALSE)</f>
        <v>Melethil house,  Pulluvanpadi,  Kalady post , KALADI panchayath</v>
      </c>
      <c r="F28" s="10" t="str">
        <f>VLOOKUP(C28,Data!$B$2:$G$176,5,FALSE)</f>
        <v xml:space="preserve">Malappuram </v>
      </c>
      <c r="G28" s="9">
        <f>VLOOKUP(C28,Data!$B$2:$G$176,6,FALSE)</f>
        <v>0</v>
      </c>
      <c r="H28" s="9" t="s">
        <v>59</v>
      </c>
      <c r="I28" s="10"/>
      <c r="J28" s="8">
        <f t="shared" si="1"/>
        <v>10000</v>
      </c>
      <c r="K28" s="8">
        <v>5000</v>
      </c>
      <c r="L28" s="9">
        <v>30000</v>
      </c>
      <c r="M28" s="9">
        <f t="shared" si="2"/>
        <v>5000</v>
      </c>
      <c r="N28" s="9"/>
      <c r="O28" s="9"/>
      <c r="P28" s="9"/>
      <c r="Q28" s="9"/>
      <c r="R28" s="9"/>
      <c r="S28" s="9"/>
      <c r="T28" s="9"/>
      <c r="U28" s="13">
        <f t="shared" si="3"/>
        <v>0</v>
      </c>
      <c r="V28" s="13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spans="1:34" ht="30.75" customHeight="1" x14ac:dyDescent="0.2">
      <c r="A29" s="8">
        <f t="shared" si="0"/>
        <v>26</v>
      </c>
      <c r="B29" s="9"/>
      <c r="C29" s="9" t="s">
        <v>62</v>
      </c>
      <c r="D29" s="10" t="str">
        <f>VLOOKUP(C29,Data!$B$2:$G$176,3,FALSE)</f>
        <v>HASEENA SHIHAB</v>
      </c>
      <c r="E29" s="11" t="str">
        <f>VLOOKUP(C29,Data!$B$2:$G$176,4,FALSE)</f>
        <v>Kochukoikkal,  Thaliradi,  kaduvinal PO , Vallikunnam</v>
      </c>
      <c r="F29" s="10" t="str">
        <f>VLOOKUP(C29,Data!$B$2:$G$176,5,FALSE)</f>
        <v>Alappuzha</v>
      </c>
      <c r="G29" s="9">
        <f>VLOOKUP(C29,Data!$B$2:$G$176,6,FALSE)</f>
        <v>963384242</v>
      </c>
      <c r="H29" s="9" t="s">
        <v>59</v>
      </c>
      <c r="I29" s="10"/>
      <c r="J29" s="8">
        <f t="shared" si="1"/>
        <v>7500</v>
      </c>
      <c r="K29" s="8">
        <v>2500</v>
      </c>
      <c r="L29" s="9">
        <v>30000</v>
      </c>
      <c r="M29" s="9">
        <f t="shared" si="2"/>
        <v>5000</v>
      </c>
      <c r="N29" s="9"/>
      <c r="O29" s="9"/>
      <c r="P29" s="9"/>
      <c r="Q29" s="9"/>
      <c r="R29" s="9"/>
      <c r="S29" s="9"/>
      <c r="T29" s="9"/>
      <c r="U29" s="13">
        <f t="shared" si="3"/>
        <v>0</v>
      </c>
      <c r="V29" s="13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ht="30.75" customHeight="1" x14ac:dyDescent="0.2">
      <c r="A30" s="8">
        <f t="shared" si="0"/>
        <v>27</v>
      </c>
      <c r="B30" s="9"/>
      <c r="C30" s="9" t="s">
        <v>63</v>
      </c>
      <c r="D30" s="10" t="str">
        <f>VLOOKUP(C30,Data!$B$2:$G$176,3,FALSE)</f>
        <v>SUBER KUNJU</v>
      </c>
      <c r="E30" s="11" t="str">
        <f>VLOOKUP(C30,Data!$B$2:$G$176,4,FALSE)</f>
        <v>Kanjiravila kizhakkathil,  chola puthenchantha PO, 691583 ,KOLLAM</v>
      </c>
      <c r="F30" s="10" t="str">
        <f>VLOOKUP(C30,Data!$B$2:$G$176,5,FALSE)</f>
        <v>Kollam</v>
      </c>
      <c r="G30" s="9">
        <f>VLOOKUP(C30,Data!$B$2:$G$176,6,FALSE)</f>
        <v>7994146350</v>
      </c>
      <c r="H30" s="9" t="s">
        <v>59</v>
      </c>
      <c r="I30" s="10"/>
      <c r="J30" s="8">
        <f t="shared" si="1"/>
        <v>65000</v>
      </c>
      <c r="K30" s="8">
        <v>60000</v>
      </c>
      <c r="L30" s="9">
        <v>30000</v>
      </c>
      <c r="M30" s="9">
        <f t="shared" si="2"/>
        <v>5000</v>
      </c>
      <c r="N30" s="9"/>
      <c r="O30" s="9"/>
      <c r="P30" s="9"/>
      <c r="Q30" s="9"/>
      <c r="R30" s="9"/>
      <c r="S30" s="9"/>
      <c r="T30" s="9"/>
      <c r="U30" s="13">
        <f t="shared" si="3"/>
        <v>0</v>
      </c>
      <c r="V30" s="13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ht="30.75" customHeight="1" x14ac:dyDescent="0.2">
      <c r="A31" s="8">
        <f t="shared" si="0"/>
        <v>28</v>
      </c>
      <c r="B31" s="9"/>
      <c r="C31" s="9" t="s">
        <v>64</v>
      </c>
      <c r="D31" s="10" t="str">
        <f>VLOOKUP(C31,Data!$B$2:$G$176,3,FALSE)</f>
        <v>ABDUL KABEER P.Y</v>
      </c>
      <c r="E31" s="11" t="str">
        <f>VLOOKUP(C31,Data!$B$2:$G$176,4,FALSE)</f>
        <v>PALLATH (H) PATHIYASSERY,  PO. PATHAZHAKKADU,  KODUGALLOOR ,THRISSUR</v>
      </c>
      <c r="F31" s="10" t="str">
        <f>VLOOKUP(C31,Data!$B$2:$G$176,5,FALSE)</f>
        <v xml:space="preserve">THRISSUR </v>
      </c>
      <c r="G31" s="9">
        <f>VLOOKUP(C31,Data!$B$2:$G$176,6,FALSE)</f>
        <v>0</v>
      </c>
      <c r="H31" s="9" t="s">
        <v>59</v>
      </c>
      <c r="I31" s="10"/>
      <c r="J31" s="8">
        <f t="shared" si="1"/>
        <v>20000</v>
      </c>
      <c r="K31" s="8">
        <v>15000</v>
      </c>
      <c r="L31" s="9">
        <v>30000</v>
      </c>
      <c r="M31" s="9">
        <f t="shared" si="2"/>
        <v>5000</v>
      </c>
      <c r="N31" s="9"/>
      <c r="O31" s="9"/>
      <c r="P31" s="9"/>
      <c r="Q31" s="9"/>
      <c r="R31" s="9"/>
      <c r="S31" s="9"/>
      <c r="T31" s="9"/>
      <c r="U31" s="13">
        <f t="shared" si="3"/>
        <v>0</v>
      </c>
      <c r="V31" s="13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ht="30.75" customHeight="1" x14ac:dyDescent="0.2">
      <c r="A32" s="8">
        <f t="shared" si="0"/>
        <v>29</v>
      </c>
      <c r="B32" s="9"/>
      <c r="C32" s="9" t="s">
        <v>65</v>
      </c>
      <c r="D32" s="10" t="str">
        <f>VLOOKUP(C32,Data!$B$2:$G$176,3,FALSE)</f>
        <v>MOHAMMED IQBAL SM</v>
      </c>
      <c r="E32" s="11" t="str">
        <f>VLOOKUP(C32,Data!$B$2:$G$176,4,FALSE)</f>
        <v>ATHANIKKAL,  PERITHALMANNA ,  ,</v>
      </c>
      <c r="F32" s="10" t="str">
        <f>VLOOKUP(C32,Data!$B$2:$G$176,5,FALSE)</f>
        <v>MALAPURAM</v>
      </c>
      <c r="G32" s="9">
        <f>VLOOKUP(C32,Data!$B$2:$G$176,6,FALSE)</f>
        <v>9745903145</v>
      </c>
      <c r="H32" s="9" t="s">
        <v>59</v>
      </c>
      <c r="I32" s="10"/>
      <c r="J32" s="8">
        <f t="shared" si="1"/>
        <v>10000</v>
      </c>
      <c r="K32" s="8">
        <v>5000</v>
      </c>
      <c r="L32" s="9">
        <v>30000</v>
      </c>
      <c r="M32" s="9">
        <f t="shared" si="2"/>
        <v>5000</v>
      </c>
      <c r="N32" s="9"/>
      <c r="O32" s="9"/>
      <c r="P32" s="9"/>
      <c r="Q32" s="9"/>
      <c r="R32" s="9"/>
      <c r="S32" s="9"/>
      <c r="T32" s="9"/>
      <c r="U32" s="13">
        <f t="shared" si="3"/>
        <v>0</v>
      </c>
      <c r="V32" s="13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ht="30.75" customHeight="1" x14ac:dyDescent="0.2">
      <c r="A33" s="8">
        <f t="shared" si="0"/>
        <v>30</v>
      </c>
      <c r="B33" s="9"/>
      <c r="C33" s="9" t="s">
        <v>66</v>
      </c>
      <c r="D33" s="10" t="str">
        <f>VLOOKUP(C33,Data!$B$2:$G$176,3,FALSE)</f>
        <v>അബുൽ ബഷീർ MT</v>
      </c>
      <c r="E33" s="11" t="str">
        <f>VLOOKUP(C33,Data!$B$2:$G$176,4,FALSE)</f>
        <v>Naduvannur Moolad</v>
      </c>
      <c r="F33" s="10" t="str">
        <f>VLOOKUP(C33,Data!$B$2:$G$176,5,FALSE)</f>
        <v>Kozhikkode</v>
      </c>
      <c r="G33" s="9" t="str">
        <f>VLOOKUP(C33,Data!$B$2:$G$176,6,FALSE)</f>
        <v xml:space="preserve"> 9946501154
8943671154</v>
      </c>
      <c r="H33" s="9" t="s">
        <v>59</v>
      </c>
      <c r="I33" s="10"/>
      <c r="J33" s="8">
        <f t="shared" si="1"/>
        <v>10000</v>
      </c>
      <c r="K33" s="8">
        <v>5000</v>
      </c>
      <c r="L33" s="9">
        <v>30000</v>
      </c>
      <c r="M33" s="9">
        <f t="shared" si="2"/>
        <v>5000</v>
      </c>
      <c r="N33" s="9"/>
      <c r="O33" s="9"/>
      <c r="P33" s="9"/>
      <c r="Q33" s="9"/>
      <c r="R33" s="9"/>
      <c r="S33" s="9"/>
      <c r="T33" s="9"/>
      <c r="U33" s="13">
        <f t="shared" si="3"/>
        <v>0</v>
      </c>
      <c r="V33" s="13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ht="30.75" customHeight="1" x14ac:dyDescent="0.2">
      <c r="A34" s="8">
        <f t="shared" si="0"/>
        <v>31</v>
      </c>
      <c r="B34" s="9"/>
      <c r="C34" s="9" t="s">
        <v>67</v>
      </c>
      <c r="D34" s="10" t="str">
        <f>VLOOKUP(C34,Data!$B$2:$G$176,3,FALSE)</f>
        <v>RAISHAL BABU K</v>
      </c>
      <c r="E34" s="11" t="str">
        <f>VLOOKUP(C34,Data!$B$2:$G$176,4,FALSE)</f>
        <v>Karuvalli (H) Kadungapuram (Po) Angadippuram (via) Malappuram (Dt) Pin: 679321,  Mankada,  ,</v>
      </c>
      <c r="F34" s="10" t="str">
        <f>VLOOKUP(C34,Data!$B$2:$G$176,5,FALSE)</f>
        <v>Malappuram</v>
      </c>
      <c r="G34" s="9">
        <f>VLOOKUP(C34,Data!$B$2:$G$176,6,FALSE)</f>
        <v>9946459008</v>
      </c>
      <c r="H34" s="9" t="s">
        <v>59</v>
      </c>
      <c r="I34" s="10"/>
      <c r="J34" s="8">
        <f t="shared" si="1"/>
        <v>30000</v>
      </c>
      <c r="K34" s="8">
        <v>25000</v>
      </c>
      <c r="L34" s="9">
        <v>30000</v>
      </c>
      <c r="M34" s="9">
        <f t="shared" si="2"/>
        <v>5000</v>
      </c>
      <c r="N34" s="9"/>
      <c r="O34" s="9"/>
      <c r="P34" s="9"/>
      <c r="Q34" s="9"/>
      <c r="R34" s="9"/>
      <c r="S34" s="9"/>
      <c r="T34" s="9"/>
      <c r="U34" s="13">
        <f t="shared" si="3"/>
        <v>0</v>
      </c>
      <c r="V34" s="13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ht="30.75" customHeight="1" x14ac:dyDescent="0.2">
      <c r="A35" s="8">
        <f t="shared" si="0"/>
        <v>32</v>
      </c>
      <c r="B35" s="9"/>
      <c r="C35" s="9" t="s">
        <v>68</v>
      </c>
      <c r="D35" s="10" t="str">
        <f>VLOOKUP(C35,Data!$B$2:$G$176,3,FALSE)</f>
        <v>MUJEEB RAHMAN  CT</v>
      </c>
      <c r="E35" s="11" t="str">
        <f>VLOOKUP(C35,Data!$B$2:$G$176,4,FALSE)</f>
        <v>CHETTIYAMTHODI HOUSE,  PARAMBOOR,  PATTIKKAD PO.  679325 ,MALAPPURAM.</v>
      </c>
      <c r="F35" s="10" t="str">
        <f>VLOOKUP(C35,Data!$B$2:$G$176,5,FALSE)</f>
        <v>MALAPPURAM.</v>
      </c>
      <c r="G35" s="9">
        <f>VLOOKUP(C35,Data!$B$2:$G$176,6,FALSE)</f>
        <v>9633812737</v>
      </c>
      <c r="H35" s="9" t="s">
        <v>59</v>
      </c>
      <c r="I35" s="10"/>
      <c r="J35" s="8">
        <f t="shared" si="1"/>
        <v>10000</v>
      </c>
      <c r="K35" s="8">
        <v>5000</v>
      </c>
      <c r="L35" s="9">
        <v>30000</v>
      </c>
      <c r="M35" s="9">
        <f t="shared" si="2"/>
        <v>5000</v>
      </c>
      <c r="N35" s="9"/>
      <c r="O35" s="9"/>
      <c r="P35" s="9"/>
      <c r="Q35" s="9"/>
      <c r="R35" s="9"/>
      <c r="S35" s="9"/>
      <c r="T35" s="9"/>
      <c r="U35" s="13">
        <f t="shared" si="3"/>
        <v>0</v>
      </c>
      <c r="V35" s="13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ht="30.75" customHeight="1" x14ac:dyDescent="0.2">
      <c r="A36" s="8">
        <f t="shared" si="0"/>
        <v>33</v>
      </c>
      <c r="B36" s="9"/>
      <c r="C36" s="9" t="s">
        <v>69</v>
      </c>
      <c r="D36" s="10" t="str">
        <f>VLOOKUP(C36,Data!$B$2:$G$176,3,FALSE)</f>
        <v>NAVAF AP</v>
      </c>
      <c r="E36" s="11" t="str">
        <f>VLOOKUP(C36,Data!$B$2:$G$176,4,FALSE)</f>
        <v>Arukulampurath house . payyoli angadi post 673523 pin,  Thurayur,  7902415813   8089815813 ,</v>
      </c>
      <c r="F36" s="10" t="str">
        <f>VLOOKUP(C36,Data!$B$2:$G$176,5,FALSE)</f>
        <v>Kozhikode</v>
      </c>
      <c r="G36" s="9">
        <f>VLOOKUP(C36,Data!$B$2:$G$176,6,FALSE)</f>
        <v>8089815813</v>
      </c>
      <c r="H36" s="9" t="s">
        <v>59</v>
      </c>
      <c r="I36" s="10"/>
      <c r="J36" s="8">
        <f t="shared" si="1"/>
        <v>20000</v>
      </c>
      <c r="K36" s="8">
        <v>15000</v>
      </c>
      <c r="L36" s="9">
        <v>30000</v>
      </c>
      <c r="M36" s="9">
        <f t="shared" si="2"/>
        <v>5000</v>
      </c>
      <c r="N36" s="9"/>
      <c r="O36" s="9"/>
      <c r="P36" s="9"/>
      <c r="Q36" s="9"/>
      <c r="R36" s="9"/>
      <c r="S36" s="9"/>
      <c r="T36" s="9"/>
      <c r="U36" s="13">
        <f t="shared" si="3"/>
        <v>0</v>
      </c>
      <c r="V36" s="13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ht="30.75" customHeight="1" x14ac:dyDescent="0.2">
      <c r="A37" s="8">
        <f t="shared" si="0"/>
        <v>34</v>
      </c>
      <c r="B37" s="9"/>
      <c r="C37" s="9" t="s">
        <v>70</v>
      </c>
      <c r="D37" s="10" t="str">
        <f>VLOOKUP(C37,Data!$B$2:$G$176,3,FALSE)</f>
        <v>RAJEENA. L(MOTHER )</v>
      </c>
      <c r="E37" s="11" t="str">
        <f>VLOOKUP(C37,Data!$B$2:$G$176,4,FALSE)</f>
        <v>Darul salam. Kalluvarambu. Poovathoor. P O. Nedumangad. 695561,  Muncipqlity. Nedumangad ,  8921974141/9207464684 ,</v>
      </c>
      <c r="F37" s="10" t="str">
        <f>VLOOKUP(C37,Data!$B$2:$G$176,5,FALSE)</f>
        <v xml:space="preserve">Trivandrum </v>
      </c>
      <c r="G37" s="9">
        <f>VLOOKUP(C37,Data!$B$2:$G$176,6,FALSE)</f>
        <v>9207464684</v>
      </c>
      <c r="H37" s="9" t="s">
        <v>59</v>
      </c>
      <c r="I37" s="10"/>
      <c r="J37" s="8">
        <f t="shared" si="1"/>
        <v>10000</v>
      </c>
      <c r="K37" s="8">
        <v>5000</v>
      </c>
      <c r="L37" s="9">
        <v>30000</v>
      </c>
      <c r="M37" s="9">
        <f t="shared" si="2"/>
        <v>5000</v>
      </c>
      <c r="N37" s="9"/>
      <c r="O37" s="9"/>
      <c r="P37" s="9"/>
      <c r="Q37" s="9"/>
      <c r="R37" s="9"/>
      <c r="S37" s="9"/>
      <c r="T37" s="9"/>
      <c r="U37" s="13">
        <f t="shared" si="3"/>
        <v>0</v>
      </c>
      <c r="V37" s="13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ht="30.75" customHeight="1" x14ac:dyDescent="0.2">
      <c r="A38" s="8">
        <f t="shared" si="0"/>
        <v>35</v>
      </c>
      <c r="B38" s="9"/>
      <c r="C38" s="9" t="s">
        <v>71</v>
      </c>
      <c r="D38" s="10" t="str">
        <f>VLOOKUP(C38,Data!$B$2:$G$176,3,FALSE)</f>
        <v>AMJATH KHAN AH</v>
      </c>
      <c r="E38" s="11" t="str">
        <f>VLOOKUP(C38,Data!$B$2:$G$176,4,FALSE)</f>
        <v>Aarashmitheen (H) Cheruthuruthy,  Thrissur Kerala ,  Vallathol nagar Cheruthuruthy  ,</v>
      </c>
      <c r="F38" s="10" t="str">
        <f>VLOOKUP(C38,Data!$B$2:$G$176,5,FALSE)</f>
        <v xml:space="preserve">Thrissur </v>
      </c>
      <c r="G38" s="9">
        <f>VLOOKUP(C38,Data!$B$2:$G$176,6,FALSE)</f>
        <v>9539065167</v>
      </c>
      <c r="H38" s="9" t="s">
        <v>59</v>
      </c>
      <c r="I38" s="10"/>
      <c r="J38" s="8">
        <f t="shared" si="1"/>
        <v>41500</v>
      </c>
      <c r="K38" s="8">
        <v>36500</v>
      </c>
      <c r="L38" s="9">
        <v>30000</v>
      </c>
      <c r="M38" s="9">
        <f t="shared" si="2"/>
        <v>5000</v>
      </c>
      <c r="N38" s="9"/>
      <c r="O38" s="9"/>
      <c r="P38" s="9"/>
      <c r="Q38" s="9"/>
      <c r="R38" s="9"/>
      <c r="S38" s="9"/>
      <c r="T38" s="9"/>
      <c r="U38" s="13">
        <f t="shared" si="3"/>
        <v>0</v>
      </c>
      <c r="V38" s="13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ht="30.75" customHeight="1" x14ac:dyDescent="0.2">
      <c r="A39" s="8">
        <f t="shared" si="0"/>
        <v>36</v>
      </c>
      <c r="B39" s="9"/>
      <c r="C39" s="9" t="s">
        <v>72</v>
      </c>
      <c r="D39" s="10" t="str">
        <f>VLOOKUP(C39,Data!$B$2:$G$176,3,FALSE)</f>
        <v>MUHAMMED NAJEEB THANGAL BK</v>
      </c>
      <c r="E39" s="11" t="str">
        <f>VLOOKUP(C39,Data!$B$2:$G$176,4,FALSE)</f>
        <v>Cheruminnatil house,  Azhiyoor, 7909159612 ,</v>
      </c>
      <c r="F39" s="10" t="str">
        <f>VLOOKUP(C39,Data!$B$2:$G$176,5,FALSE)</f>
        <v xml:space="preserve">Kozhikode </v>
      </c>
      <c r="G39" s="9">
        <f>VLOOKUP(C39,Data!$B$2:$G$176,6,FALSE)</f>
        <v>7909159612</v>
      </c>
      <c r="H39" s="9" t="s">
        <v>59</v>
      </c>
      <c r="I39" s="10"/>
      <c r="J39" s="8">
        <f t="shared" si="1"/>
        <v>45000</v>
      </c>
      <c r="K39" s="8">
        <v>40000</v>
      </c>
      <c r="L39" s="9">
        <v>30000</v>
      </c>
      <c r="M39" s="9">
        <f t="shared" si="2"/>
        <v>5000</v>
      </c>
      <c r="N39" s="9"/>
      <c r="O39" s="9"/>
      <c r="P39" s="9"/>
      <c r="Q39" s="9"/>
      <c r="R39" s="9"/>
      <c r="S39" s="9"/>
      <c r="T39" s="9"/>
      <c r="U39" s="13">
        <f t="shared" si="3"/>
        <v>0</v>
      </c>
      <c r="V39" s="13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ht="30.75" customHeight="1" x14ac:dyDescent="0.2">
      <c r="A40" s="8">
        <f t="shared" si="0"/>
        <v>37</v>
      </c>
      <c r="B40" s="9"/>
      <c r="C40" s="9" t="s">
        <v>73</v>
      </c>
      <c r="D40" s="10" t="str">
        <f>VLOOKUP(C40,Data!$B$2:$G$176,3,FALSE)</f>
        <v>RAFEEQ V A</v>
      </c>
      <c r="E40" s="11" t="str">
        <f>VLOOKUP(C40,Data!$B$2:$G$176,4,FALSE)</f>
        <v>Valuvakkadu House, Thuruth, Aluva , Parakkadavu</v>
      </c>
      <c r="F40" s="10" t="str">
        <f>VLOOKUP(C40,Data!$B$2:$G$176,5,FALSE)</f>
        <v>Ernankulam</v>
      </c>
      <c r="G40" s="9">
        <f>VLOOKUP(C40,Data!$B$2:$G$176,6,FALSE)</f>
        <v>0</v>
      </c>
      <c r="H40" s="9" t="s">
        <v>59</v>
      </c>
      <c r="I40" s="10"/>
      <c r="J40" s="8">
        <f t="shared" si="1"/>
        <v>20000</v>
      </c>
      <c r="K40" s="8">
        <v>15000</v>
      </c>
      <c r="L40" s="9">
        <v>30000</v>
      </c>
      <c r="M40" s="9">
        <f t="shared" si="2"/>
        <v>5000</v>
      </c>
      <c r="N40" s="9"/>
      <c r="O40" s="9"/>
      <c r="P40" s="9"/>
      <c r="Q40" s="9"/>
      <c r="R40" s="9"/>
      <c r="S40" s="9"/>
      <c r="T40" s="9"/>
      <c r="U40" s="13">
        <f t="shared" si="3"/>
        <v>0</v>
      </c>
      <c r="V40" s="13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ht="30.75" customHeight="1" x14ac:dyDescent="0.2">
      <c r="A41" s="8">
        <f t="shared" si="0"/>
        <v>38</v>
      </c>
      <c r="B41" s="9"/>
      <c r="C41" s="9" t="s">
        <v>74</v>
      </c>
      <c r="D41" s="10" t="str">
        <f>VLOOKUP(C41,Data!$B$2:$G$176,3,FALSE)</f>
        <v>ABDUL MANAF.A</v>
      </c>
      <c r="E41" s="11" t="str">
        <f>VLOOKUP(C41,Data!$B$2:$G$176,4,FALSE)</f>
        <v xml:space="preserve">ETTATHANIKUZHI,  PARAVOOR,  PULIKKAL , Kondotty </v>
      </c>
      <c r="F41" s="10" t="str">
        <f>VLOOKUP(C41,Data!$B$2:$G$176,5,FALSE)</f>
        <v>Malappuram</v>
      </c>
      <c r="G41" s="9">
        <f>VLOOKUP(C41,Data!$B$2:$G$176,6,FALSE)</f>
        <v>0</v>
      </c>
      <c r="H41" s="9" t="s">
        <v>59</v>
      </c>
      <c r="I41" s="10"/>
      <c r="J41" s="8">
        <f t="shared" si="1"/>
        <v>10000</v>
      </c>
      <c r="K41" s="8">
        <v>5000</v>
      </c>
      <c r="L41" s="9">
        <v>30000</v>
      </c>
      <c r="M41" s="9">
        <f t="shared" si="2"/>
        <v>5000</v>
      </c>
      <c r="N41" s="9"/>
      <c r="O41" s="9"/>
      <c r="P41" s="9"/>
      <c r="Q41" s="9"/>
      <c r="R41" s="9"/>
      <c r="S41" s="9"/>
      <c r="T41" s="9"/>
      <c r="U41" s="13">
        <f t="shared" si="3"/>
        <v>0</v>
      </c>
      <c r="V41" s="13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ht="30.75" customHeight="1" x14ac:dyDescent="0.2">
      <c r="A42" s="8">
        <f t="shared" si="0"/>
        <v>39</v>
      </c>
      <c r="B42" s="9"/>
      <c r="C42" s="9" t="s">
        <v>75</v>
      </c>
      <c r="D42" s="10" t="str">
        <f>VLOOKUP(C42,Data!$B$2:$G$176,3,FALSE)</f>
        <v>ABDUL JALEEL</v>
      </c>
      <c r="E42" s="11" t="str">
        <f>VLOOKUP(C42,Data!$B$2:$G$176,4,FALSE)</f>
        <v>Chorode (po) vaikilaseri,  Chorode panayath, 9447544278 ,</v>
      </c>
      <c r="F42" s="10" t="str">
        <f>VLOOKUP(C42,Data!$B$2:$G$176,5,FALSE)</f>
        <v>Kozikode</v>
      </c>
      <c r="G42" s="9" t="str">
        <f>VLOOKUP(C42,Data!$B$2:$G$176,6,FALSE)</f>
        <v>9447544278 ,</v>
      </c>
      <c r="H42" s="9" t="s">
        <v>59</v>
      </c>
      <c r="I42" s="10"/>
      <c r="J42" s="8">
        <f t="shared" si="1"/>
        <v>25000</v>
      </c>
      <c r="K42" s="8">
        <v>20000</v>
      </c>
      <c r="L42" s="9">
        <v>30000</v>
      </c>
      <c r="M42" s="9">
        <f t="shared" si="2"/>
        <v>5000</v>
      </c>
      <c r="N42" s="9"/>
      <c r="O42" s="9"/>
      <c r="P42" s="9"/>
      <c r="Q42" s="9"/>
      <c r="R42" s="9"/>
      <c r="S42" s="9"/>
      <c r="T42" s="9"/>
      <c r="U42" s="13">
        <f t="shared" si="3"/>
        <v>0</v>
      </c>
      <c r="V42" s="13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ht="30.75" customHeight="1" x14ac:dyDescent="0.2">
      <c r="A43" s="8">
        <f t="shared" si="0"/>
        <v>40</v>
      </c>
      <c r="B43" s="9"/>
      <c r="C43" s="9" t="s">
        <v>76</v>
      </c>
      <c r="D43" s="10">
        <f>VLOOKUP(C43,Data!$B$2:$G$176,3,FALSE)</f>
        <v>0</v>
      </c>
      <c r="E43" s="11" t="str">
        <f>VLOOKUP(C43,Data!$B$2:$G$176,4,FALSE)</f>
        <v/>
      </c>
      <c r="F43" s="10">
        <f>VLOOKUP(C43,Data!$B$2:$G$176,5,FALSE)</f>
        <v>0</v>
      </c>
      <c r="G43" s="9" t="str">
        <f>VLOOKUP(C43,Data!$B$2:$G$176,6,FALSE)</f>
        <v/>
      </c>
      <c r="H43" s="9" t="s">
        <v>59</v>
      </c>
      <c r="I43" s="10"/>
      <c r="J43" s="8">
        <f t="shared" si="1"/>
        <v>35000</v>
      </c>
      <c r="K43" s="8">
        <v>30000</v>
      </c>
      <c r="L43" s="9">
        <v>30000</v>
      </c>
      <c r="M43" s="9">
        <f t="shared" si="2"/>
        <v>5000</v>
      </c>
      <c r="N43" s="9"/>
      <c r="O43" s="9"/>
      <c r="P43" s="9"/>
      <c r="Q43" s="9"/>
      <c r="R43" s="9"/>
      <c r="S43" s="9"/>
      <c r="T43" s="9"/>
      <c r="U43" s="13">
        <f t="shared" si="3"/>
        <v>0</v>
      </c>
      <c r="V43" s="13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ht="30.75" customHeight="1" x14ac:dyDescent="0.2">
      <c r="A44" s="8">
        <f t="shared" si="0"/>
        <v>41</v>
      </c>
      <c r="B44" s="9"/>
      <c r="C44" s="9" t="s">
        <v>77</v>
      </c>
      <c r="D44" s="10" t="str">
        <f>VLOOKUP(C44,Data!$B$2:$G$176,3,FALSE)</f>
        <v>ABDUL HAMEED KV</v>
      </c>
      <c r="E44" s="11" t="str">
        <f>VLOOKUP(C44,Data!$B$2:$G$176,4,FALSE)</f>
        <v>Puzhukolly,  Devarsholai,  The nilgiris , Thamil nadu 643211</v>
      </c>
      <c r="F44" s="10" t="str">
        <f>VLOOKUP(C44,Data!$B$2:$G$176,5,FALSE)</f>
        <v>Nilgiri</v>
      </c>
      <c r="G44" s="9">
        <f>VLOOKUP(C44,Data!$B$2:$G$176,6,FALSE)</f>
        <v>9446828888</v>
      </c>
      <c r="H44" s="9" t="s">
        <v>59</v>
      </c>
      <c r="I44" s="10"/>
      <c r="J44" s="8">
        <f t="shared" si="1"/>
        <v>5000</v>
      </c>
      <c r="K44" s="8">
        <v>0</v>
      </c>
      <c r="L44" s="9">
        <v>30000</v>
      </c>
      <c r="M44" s="9">
        <f t="shared" si="2"/>
        <v>5000</v>
      </c>
      <c r="N44" s="9"/>
      <c r="O44" s="9"/>
      <c r="P44" s="9"/>
      <c r="Q44" s="9"/>
      <c r="R44" s="9"/>
      <c r="S44" s="9"/>
      <c r="T44" s="9"/>
      <c r="U44" s="13">
        <f t="shared" si="3"/>
        <v>0</v>
      </c>
      <c r="V44" s="13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ht="30.75" customHeight="1" x14ac:dyDescent="0.2">
      <c r="A45" s="8">
        <f t="shared" si="0"/>
        <v>42</v>
      </c>
      <c r="B45" s="9"/>
      <c r="C45" s="9" t="s">
        <v>78</v>
      </c>
      <c r="D45" s="10" t="str">
        <f>VLOOKUP(C45,Data!$B$2:$G$176,3,FALSE)</f>
        <v xml:space="preserve">FIROS </v>
      </c>
      <c r="E45" s="11" t="str">
        <f>VLOOKUP(C45,Data!$B$2:$G$176,4,FALSE)</f>
        <v xml:space="preserve">Machanchery house,  Aripra po ,  Malappuram dr , Angadippuram </v>
      </c>
      <c r="F45" s="10" t="str">
        <f>VLOOKUP(C45,Data!$B$2:$G$176,5,FALSE)</f>
        <v xml:space="preserve">Malappuram </v>
      </c>
      <c r="G45" s="9">
        <f>VLOOKUP(C45,Data!$B$2:$G$176,6,FALSE)</f>
        <v>8943687460</v>
      </c>
      <c r="H45" s="9" t="s">
        <v>59</v>
      </c>
      <c r="I45" s="10"/>
      <c r="J45" s="8">
        <f t="shared" si="1"/>
        <v>10000</v>
      </c>
      <c r="K45" s="8">
        <v>5000</v>
      </c>
      <c r="L45" s="9">
        <v>30000</v>
      </c>
      <c r="M45" s="9">
        <f t="shared" si="2"/>
        <v>5000</v>
      </c>
      <c r="N45" s="9"/>
      <c r="O45" s="9"/>
      <c r="P45" s="9"/>
      <c r="Q45" s="9"/>
      <c r="R45" s="9"/>
      <c r="S45" s="9"/>
      <c r="T45" s="9"/>
      <c r="U45" s="13">
        <f t="shared" si="3"/>
        <v>0</v>
      </c>
      <c r="V45" s="13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spans="1:34" ht="30.75" customHeight="1" x14ac:dyDescent="0.2">
      <c r="A46" s="8">
        <f t="shared" si="0"/>
        <v>43</v>
      </c>
      <c r="B46" s="9"/>
      <c r="C46" s="9" t="s">
        <v>79</v>
      </c>
      <c r="D46" s="10" t="str">
        <f>VLOOKUP(C46,Data!$B$2:$G$176,3,FALSE)</f>
        <v>MANAKANDATHIL RAHEEM</v>
      </c>
      <c r="E46" s="11" t="str">
        <f>VLOOKUP(C46,Data!$B$2:$G$176,4,FALSE)</f>
        <v xml:space="preserve">Baithul shamam,  perumundery,  new Mahe  , New Mahe </v>
      </c>
      <c r="F46" s="10" t="str">
        <f>VLOOKUP(C46,Data!$B$2:$G$176,5,FALSE)</f>
        <v xml:space="preserve">Kannur </v>
      </c>
      <c r="G46" s="9">
        <f>VLOOKUP(C46,Data!$B$2:$G$176,6,FALSE)</f>
        <v>9946322866</v>
      </c>
      <c r="H46" s="9" t="s">
        <v>59</v>
      </c>
      <c r="I46" s="10"/>
      <c r="J46" s="8">
        <f t="shared" si="1"/>
        <v>15000</v>
      </c>
      <c r="K46" s="8">
        <v>10000</v>
      </c>
      <c r="L46" s="9">
        <v>30000</v>
      </c>
      <c r="M46" s="9">
        <f t="shared" si="2"/>
        <v>5000</v>
      </c>
      <c r="N46" s="9"/>
      <c r="O46" s="9"/>
      <c r="P46" s="9"/>
      <c r="Q46" s="9"/>
      <c r="R46" s="9"/>
      <c r="S46" s="9"/>
      <c r="T46" s="9"/>
      <c r="U46" s="13">
        <f t="shared" si="3"/>
        <v>0</v>
      </c>
      <c r="V46" s="13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ht="30.75" customHeight="1" x14ac:dyDescent="0.2">
      <c r="A47" s="8">
        <f t="shared" si="0"/>
        <v>44</v>
      </c>
      <c r="B47" s="9"/>
      <c r="C47" s="9" t="s">
        <v>80</v>
      </c>
      <c r="D47" s="10" t="str">
        <f>VLOOKUP(C47,Data!$B$2:$G$176,3,FALSE)</f>
        <v>HAMZA</v>
      </c>
      <c r="E47" s="11" t="str">
        <f>VLOOKUP(C47,Data!$B$2:$G$176,4,FALSE)</f>
        <v>Cherkallimel (House),  (po)Vadanamkurussi,  (Via)Shoranur       (Pin) 679121 , Pattambi</v>
      </c>
      <c r="F47" s="10" t="str">
        <f>VLOOKUP(C47,Data!$B$2:$G$176,5,FALSE)</f>
        <v>Palakkad</v>
      </c>
      <c r="G47" s="9">
        <f>VLOOKUP(C47,Data!$B$2:$G$176,6,FALSE)</f>
        <v>9544676643</v>
      </c>
      <c r="H47" s="9" t="s">
        <v>59</v>
      </c>
      <c r="I47" s="10"/>
      <c r="J47" s="8">
        <f t="shared" si="1"/>
        <v>10000</v>
      </c>
      <c r="K47" s="8">
        <v>5000</v>
      </c>
      <c r="L47" s="9">
        <v>30000</v>
      </c>
      <c r="M47" s="9">
        <f t="shared" si="2"/>
        <v>5000</v>
      </c>
      <c r="N47" s="9"/>
      <c r="O47" s="9"/>
      <c r="P47" s="9"/>
      <c r="Q47" s="9"/>
      <c r="R47" s="9"/>
      <c r="S47" s="9"/>
      <c r="T47" s="9"/>
      <c r="U47" s="13">
        <f t="shared" si="3"/>
        <v>0</v>
      </c>
      <c r="V47" s="13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ht="30.75" customHeight="1" x14ac:dyDescent="0.2">
      <c r="A48" s="8">
        <f t="shared" si="0"/>
        <v>45</v>
      </c>
      <c r="B48" s="9"/>
      <c r="C48" s="9" t="s">
        <v>81</v>
      </c>
      <c r="D48" s="10" t="str">
        <f>VLOOKUP(C48,Data!$B$2:$G$176,3,FALSE)</f>
        <v>ABDUL NAUSHAD T A</v>
      </c>
      <c r="E48" s="11" t="str">
        <f>VLOOKUP(C48,Data!$B$2:$G$176,4,FALSE)</f>
        <v>Thundiyil  Murickassery  Murickassery PO</v>
      </c>
      <c r="F48" s="10" t="str">
        <f>VLOOKUP(C48,Data!$B$2:$G$176,5,FALSE)</f>
        <v>Idukki</v>
      </c>
      <c r="G48" s="9" t="str">
        <f>VLOOKUP(C48,Data!$B$2:$G$176,6,FALSE)</f>
        <v>9744376726</v>
      </c>
      <c r="H48" s="9" t="s">
        <v>82</v>
      </c>
      <c r="I48" s="10"/>
      <c r="J48" s="8">
        <f t="shared" si="1"/>
        <v>15000</v>
      </c>
      <c r="K48" s="8">
        <v>10000</v>
      </c>
      <c r="L48" s="9">
        <v>30000</v>
      </c>
      <c r="M48" s="9">
        <f t="shared" si="2"/>
        <v>5000</v>
      </c>
      <c r="N48" s="9"/>
      <c r="O48" s="9"/>
      <c r="P48" s="9"/>
      <c r="Q48" s="9"/>
      <c r="R48" s="9"/>
      <c r="S48" s="9"/>
      <c r="T48" s="9"/>
      <c r="U48" s="13">
        <f t="shared" si="3"/>
        <v>0</v>
      </c>
      <c r="V48" s="13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ht="30.75" customHeight="1" x14ac:dyDescent="0.2">
      <c r="A49" s="8">
        <f t="shared" si="0"/>
        <v>46</v>
      </c>
      <c r="B49" s="9"/>
      <c r="C49" s="9" t="s">
        <v>83</v>
      </c>
      <c r="D49" s="10" t="str">
        <f>VLOOKUP(C49,Data!$B$2:$G$176,3,FALSE)</f>
        <v>MUHAMMED SHAFEEQUE</v>
      </c>
      <c r="E49" s="11" t="str">
        <f>VLOOKUP(C49,Data!$B$2:$G$176,4,FALSE)</f>
        <v>Koyathodukayil housekodakkad
Po676319</v>
      </c>
      <c r="F49" s="10" t="str">
        <f>VLOOKUP(C49,Data!$B$2:$G$176,5,FALSE)</f>
        <v>Malappuram</v>
      </c>
      <c r="G49" s="9" t="str">
        <f>VLOOKUP(C49,Data!$B$2:$G$176,6,FALSE)</f>
        <v>9544693218</v>
      </c>
      <c r="H49" s="9" t="s">
        <v>82</v>
      </c>
      <c r="I49" s="10"/>
      <c r="J49" s="8">
        <f t="shared" si="1"/>
        <v>20000</v>
      </c>
      <c r="K49" s="8">
        <v>15000</v>
      </c>
      <c r="L49" s="9">
        <v>30000</v>
      </c>
      <c r="M49" s="9">
        <f t="shared" si="2"/>
        <v>5000</v>
      </c>
      <c r="N49" s="9"/>
      <c r="O49" s="9"/>
      <c r="P49" s="9"/>
      <c r="Q49" s="9"/>
      <c r="R49" s="9"/>
      <c r="S49" s="9"/>
      <c r="T49" s="9"/>
      <c r="U49" s="13">
        <f t="shared" si="3"/>
        <v>0</v>
      </c>
      <c r="V49" s="13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ht="30.75" customHeight="1" x14ac:dyDescent="0.2">
      <c r="A50" s="8">
        <f t="shared" si="0"/>
        <v>47</v>
      </c>
      <c r="B50" s="9"/>
      <c r="C50" s="9" t="s">
        <v>84</v>
      </c>
      <c r="D50" s="10" t="str">
        <f>VLOOKUP(C50,Data!$B$2:$G$176,3,FALSE)</f>
        <v>HAFSATH.K</v>
      </c>
      <c r="E50" s="11" t="str">
        <f>VLOOKUP(C50,Data!$B$2:$G$176,4,FALSE)</f>
        <v>Nelliyali(h) chamravettom  chamravettom p.o tirurmalappuram</v>
      </c>
      <c r="F50" s="10" t="str">
        <f>VLOOKUP(C50,Data!$B$2:$G$176,5,FALSE)</f>
        <v>Malappuram</v>
      </c>
      <c r="G50" s="9" t="str">
        <f>VLOOKUP(C50,Data!$B$2:$G$176,6,FALSE)</f>
        <v>7034768747</v>
      </c>
      <c r="H50" s="9" t="s">
        <v>82</v>
      </c>
      <c r="I50" s="10"/>
      <c r="J50" s="8">
        <f t="shared" si="1"/>
        <v>5000</v>
      </c>
      <c r="K50" s="8">
        <v>0</v>
      </c>
      <c r="L50" s="9">
        <v>30000</v>
      </c>
      <c r="M50" s="9">
        <f t="shared" si="2"/>
        <v>5000</v>
      </c>
      <c r="N50" s="9"/>
      <c r="O50" s="9"/>
      <c r="P50" s="9"/>
      <c r="Q50" s="9"/>
      <c r="R50" s="9"/>
      <c r="S50" s="9"/>
      <c r="T50" s="9"/>
      <c r="U50" s="13">
        <f t="shared" si="3"/>
        <v>0</v>
      </c>
      <c r="V50" s="13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ht="30.75" customHeight="1" x14ac:dyDescent="0.2">
      <c r="A51" s="8">
        <f t="shared" si="0"/>
        <v>48</v>
      </c>
      <c r="B51" s="9"/>
      <c r="C51" s="9" t="s">
        <v>85</v>
      </c>
      <c r="D51" s="10" t="str">
        <f>VLOOKUP(C51,Data!$B$2:$G$176,3,FALSE)</f>
        <v>SHAJEER KHAN</v>
      </c>
      <c r="E51" s="11" t="str">
        <f>VLOOKUP(C51,Data!$B$2:$G$176,4,FALSE)</f>
        <v>Fathima Manzil Chembran Kadu Koduvazhannoor PO</v>
      </c>
      <c r="F51" s="10" t="str">
        <f>VLOOKUP(C51,Data!$B$2:$G$176,5,FALSE)</f>
        <v>Thiruvanathapuram</v>
      </c>
      <c r="G51" s="9" t="str">
        <f>VLOOKUP(C51,Data!$B$2:$G$176,6,FALSE)</f>
        <v>9645257053</v>
      </c>
      <c r="H51" s="9" t="s">
        <v>82</v>
      </c>
      <c r="I51" s="10"/>
      <c r="J51" s="8">
        <f t="shared" si="1"/>
        <v>15000</v>
      </c>
      <c r="K51" s="8">
        <v>10000</v>
      </c>
      <c r="L51" s="9">
        <v>30000</v>
      </c>
      <c r="M51" s="9">
        <f t="shared" si="2"/>
        <v>5000</v>
      </c>
      <c r="N51" s="9"/>
      <c r="O51" s="9"/>
      <c r="P51" s="9"/>
      <c r="Q51" s="9"/>
      <c r="R51" s="9"/>
      <c r="S51" s="9"/>
      <c r="T51" s="9"/>
      <c r="U51" s="13">
        <f t="shared" si="3"/>
        <v>0</v>
      </c>
      <c r="V51" s="13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spans="1:34" ht="30.75" customHeight="1" x14ac:dyDescent="0.2">
      <c r="A52" s="8">
        <f t="shared" si="0"/>
        <v>49</v>
      </c>
      <c r="B52" s="9"/>
      <c r="C52" s="9" t="s">
        <v>86</v>
      </c>
      <c r="D52" s="10" t="str">
        <f>VLOOKUP(C52,Data!$B$2:$G$176,3,FALSE)</f>
        <v>MAHABOOB RAHMAN K.P</v>
      </c>
      <c r="E52" s="11" t="str">
        <f>VLOOKUP(C52,Data!$B$2:$G$176,4,FALSE)</f>
        <v>Majid manzil pullumkunnu ramanatukara vaidyarangadi kozhikode 6736339605272902</v>
      </c>
      <c r="F52" s="10" t="str">
        <f>VLOOKUP(C52,Data!$B$2:$G$176,5,FALSE)</f>
        <v>Kozhikkode</v>
      </c>
      <c r="G52" s="9" t="str">
        <f>VLOOKUP(C52,Data!$B$2:$G$176,6,FALSE)</f>
        <v>9605272902</v>
      </c>
      <c r="H52" s="9" t="s">
        <v>82</v>
      </c>
      <c r="I52" s="10"/>
      <c r="J52" s="8">
        <f t="shared" si="1"/>
        <v>45000</v>
      </c>
      <c r="K52" s="8">
        <v>40000</v>
      </c>
      <c r="L52" s="9">
        <v>30000</v>
      </c>
      <c r="M52" s="9">
        <f t="shared" si="2"/>
        <v>5000</v>
      </c>
      <c r="N52" s="9"/>
      <c r="O52" s="9"/>
      <c r="P52" s="9"/>
      <c r="Q52" s="9"/>
      <c r="R52" s="9"/>
      <c r="S52" s="9"/>
      <c r="T52" s="9"/>
      <c r="U52" s="13">
        <f t="shared" si="3"/>
        <v>0</v>
      </c>
      <c r="V52" s="13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spans="1:34" ht="30.75" customHeight="1" x14ac:dyDescent="0.2">
      <c r="A53" s="8">
        <f t="shared" si="0"/>
        <v>50</v>
      </c>
      <c r="B53" s="9"/>
      <c r="C53" s="9" t="s">
        <v>87</v>
      </c>
      <c r="D53" s="10" t="str">
        <f>VLOOKUP(C53,Data!$B$2:$G$176,3,FALSE)</f>
        <v>BADARUDEEN A</v>
      </c>
      <c r="E53" s="11" t="str">
        <f>VLOOKUP(C53,Data!$B$2:$G$176,4,FALSE)</f>
        <v>ALFAJAR HOUSE ERIYAL KUDLU  P.O</v>
      </c>
      <c r="F53" s="10" t="str">
        <f>VLOOKUP(C53,Data!$B$2:$G$176,5,FALSE)</f>
        <v>Kasarkode</v>
      </c>
      <c r="G53" s="9" t="str">
        <f>VLOOKUP(C53,Data!$B$2:$G$176,6,FALSE)</f>
        <v>8714235377</v>
      </c>
      <c r="H53" s="9" t="s">
        <v>82</v>
      </c>
      <c r="I53" s="10"/>
      <c r="J53" s="8">
        <f t="shared" si="1"/>
        <v>30000</v>
      </c>
      <c r="K53" s="8">
        <v>25000</v>
      </c>
      <c r="L53" s="9">
        <v>30000</v>
      </c>
      <c r="M53" s="9">
        <f t="shared" si="2"/>
        <v>5000</v>
      </c>
      <c r="N53" s="9"/>
      <c r="O53" s="9"/>
      <c r="P53" s="9"/>
      <c r="Q53" s="9"/>
      <c r="R53" s="9"/>
      <c r="S53" s="9"/>
      <c r="T53" s="9"/>
      <c r="U53" s="13">
        <f t="shared" si="3"/>
        <v>0</v>
      </c>
      <c r="V53" s="13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ht="30.75" customHeight="1" x14ac:dyDescent="0.2">
      <c r="A54" s="8">
        <f t="shared" si="0"/>
        <v>51</v>
      </c>
      <c r="B54" s="9"/>
      <c r="C54" s="9" t="s">
        <v>88</v>
      </c>
      <c r="D54" s="10" t="str">
        <f>VLOOKUP(C54,Data!$B$2:$G$176,3,FALSE)</f>
        <v>HARIS MK</v>
      </c>
      <c r="E54" s="11" t="str">
        <f>VLOOKUP(C54,Data!$B$2:$G$176,4,FALSE)</f>
        <v>Mukri housepariyaram 673122wayanad</v>
      </c>
      <c r="F54" s="10" t="str">
        <f>VLOOKUP(C54,Data!$B$2:$G$176,5,FALSE)</f>
        <v>Wayanad</v>
      </c>
      <c r="G54" s="9" t="str">
        <f>VLOOKUP(C54,Data!$B$2:$G$176,6,FALSE)</f>
        <v>9961017846</v>
      </c>
      <c r="H54" s="9" t="s">
        <v>82</v>
      </c>
      <c r="I54" s="10"/>
      <c r="J54" s="8">
        <f t="shared" si="1"/>
        <v>15000</v>
      </c>
      <c r="K54" s="8">
        <v>10000</v>
      </c>
      <c r="L54" s="9">
        <v>30000</v>
      </c>
      <c r="M54" s="9">
        <f t="shared" si="2"/>
        <v>5000</v>
      </c>
      <c r="N54" s="9"/>
      <c r="O54" s="9"/>
      <c r="P54" s="9"/>
      <c r="Q54" s="9"/>
      <c r="R54" s="9"/>
      <c r="S54" s="9"/>
      <c r="T54" s="9"/>
      <c r="U54" s="13">
        <f t="shared" si="3"/>
        <v>0</v>
      </c>
      <c r="V54" s="13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spans="1:34" ht="30.75" customHeight="1" x14ac:dyDescent="0.2">
      <c r="A55" s="8">
        <f t="shared" si="0"/>
        <v>52</v>
      </c>
      <c r="B55" s="9"/>
      <c r="C55" s="9" t="s">
        <v>89</v>
      </c>
      <c r="D55" s="10" t="str">
        <f>VLOOKUP(C55,Data!$B$2:$G$176,3,FALSE)</f>
        <v>HAMZA.K</v>
      </c>
      <c r="E55" s="11" t="str">
        <f>VLOOKUP(C55,Data!$B$2:$G$176,4,FALSE)</f>
        <v>Madathil(h)KulathurCalicut Airport(po)673647Malapuram</v>
      </c>
      <c r="F55" s="10" t="str">
        <f>VLOOKUP(C55,Data!$B$2:$G$176,5,FALSE)</f>
        <v>Malappuram</v>
      </c>
      <c r="G55" s="9" t="str">
        <f>VLOOKUP(C55,Data!$B$2:$G$176,6,FALSE)</f>
        <v>8281560837</v>
      </c>
      <c r="H55" s="9" t="s">
        <v>82</v>
      </c>
      <c r="I55" s="10"/>
      <c r="J55" s="8">
        <f t="shared" si="1"/>
        <v>15000</v>
      </c>
      <c r="K55" s="8">
        <v>10000</v>
      </c>
      <c r="L55" s="9">
        <v>30000</v>
      </c>
      <c r="M55" s="9">
        <f t="shared" si="2"/>
        <v>5000</v>
      </c>
      <c r="N55" s="9"/>
      <c r="O55" s="9"/>
      <c r="P55" s="9"/>
      <c r="Q55" s="9"/>
      <c r="R55" s="9"/>
      <c r="S55" s="9"/>
      <c r="T55" s="9"/>
      <c r="U55" s="13">
        <f t="shared" si="3"/>
        <v>0</v>
      </c>
      <c r="V55" s="13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ht="30.75" customHeight="1" x14ac:dyDescent="0.2">
      <c r="A56" s="8">
        <f t="shared" si="0"/>
        <v>53</v>
      </c>
      <c r="B56" s="9"/>
      <c r="C56" s="9" t="s">
        <v>90</v>
      </c>
      <c r="D56" s="10" t="str">
        <f>VLOOKUP(C56,Data!$B$2:$G$176,3,FALSE)</f>
        <v>IBRAHIM</v>
      </c>
      <c r="E56" s="11" t="str">
        <f>VLOOKUP(C56,Data!$B$2:$G$176,4,FALSE)</f>
        <v>KANNAPPAN KUZHIYILKALOTHKONDOTTY 673638</v>
      </c>
      <c r="F56" s="10" t="str">
        <f>VLOOKUP(C56,Data!$B$2:$G$176,5,FALSE)</f>
        <v>Malappuram</v>
      </c>
      <c r="G56" s="9" t="str">
        <f>VLOOKUP(C56,Data!$B$2:$G$176,6,FALSE)</f>
        <v>9947080908</v>
      </c>
      <c r="H56" s="9" t="s">
        <v>82</v>
      </c>
      <c r="I56" s="10"/>
      <c r="J56" s="8">
        <f t="shared" si="1"/>
        <v>40000</v>
      </c>
      <c r="K56" s="8">
        <v>35000</v>
      </c>
      <c r="L56" s="9">
        <v>30000</v>
      </c>
      <c r="M56" s="9">
        <f t="shared" si="2"/>
        <v>5000</v>
      </c>
      <c r="N56" s="9"/>
      <c r="O56" s="9"/>
      <c r="P56" s="9"/>
      <c r="Q56" s="9"/>
      <c r="R56" s="9"/>
      <c r="S56" s="9"/>
      <c r="T56" s="9"/>
      <c r="U56" s="13">
        <f t="shared" si="3"/>
        <v>0</v>
      </c>
      <c r="V56" s="13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ht="30.75" customHeight="1" x14ac:dyDescent="0.2">
      <c r="A57" s="8">
        <f t="shared" si="0"/>
        <v>54</v>
      </c>
      <c r="B57" s="9"/>
      <c r="C57" s="9" t="s">
        <v>91</v>
      </c>
      <c r="D57" s="10" t="str">
        <f>VLOOKUP(C57,Data!$B$2:$G$176,3,FALSE)</f>
        <v>ABDUL SATHAR K</v>
      </c>
      <c r="E57" s="11" t="str">
        <f>VLOOKUP(C57,Data!$B$2:$G$176,4,FALSE)</f>
        <v>KAINIKARA KOTTAPPURAM ANDIYOORKUNNU PO 673637 MALAPPURAM9746659604</v>
      </c>
      <c r="F57" s="10" t="str">
        <f>VLOOKUP(C57,Data!$B$2:$G$176,5,FALSE)</f>
        <v>Malappuram</v>
      </c>
      <c r="G57" s="9" t="str">
        <f>VLOOKUP(C57,Data!$B$2:$G$176,6,FALSE)</f>
        <v>9746659604</v>
      </c>
      <c r="H57" s="9" t="s">
        <v>82</v>
      </c>
      <c r="I57" s="10"/>
      <c r="J57" s="8">
        <f t="shared" si="1"/>
        <v>45000</v>
      </c>
      <c r="K57" s="8">
        <v>40000</v>
      </c>
      <c r="L57" s="9">
        <v>30000</v>
      </c>
      <c r="M57" s="9">
        <f t="shared" si="2"/>
        <v>5000</v>
      </c>
      <c r="N57" s="9"/>
      <c r="O57" s="9"/>
      <c r="P57" s="9"/>
      <c r="Q57" s="9"/>
      <c r="R57" s="9"/>
      <c r="S57" s="9"/>
      <c r="T57" s="9"/>
      <c r="U57" s="13">
        <f t="shared" si="3"/>
        <v>0</v>
      </c>
      <c r="V57" s="13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ht="30.75" customHeight="1" x14ac:dyDescent="0.2">
      <c r="A58" s="8">
        <f t="shared" si="0"/>
        <v>55</v>
      </c>
      <c r="B58" s="9"/>
      <c r="C58" s="9" t="s">
        <v>92</v>
      </c>
      <c r="D58" s="10" t="str">
        <f>VLOOKUP(C58,Data!$B$2:$G$176,3,FALSE)</f>
        <v>VERRAN KUTTY.P</v>
      </c>
      <c r="E58" s="11" t="str">
        <f>VLOOKUP(C58,Data!$B$2:$G$176,4,FALSE)</f>
        <v>Parambil house6282720272</v>
      </c>
      <c r="F58" s="10" t="str">
        <f>VLOOKUP(C58,Data!$B$2:$G$176,5,FALSE)</f>
        <v>Malappuram</v>
      </c>
      <c r="G58" s="9" t="str">
        <f>VLOOKUP(C58,Data!$B$2:$G$176,6,FALSE)</f>
        <v>6282720272</v>
      </c>
      <c r="H58" s="9" t="s">
        <v>82</v>
      </c>
      <c r="I58" s="10"/>
      <c r="J58" s="8">
        <f t="shared" si="1"/>
        <v>10500</v>
      </c>
      <c r="K58" s="8">
        <v>5500</v>
      </c>
      <c r="L58" s="9">
        <v>30000</v>
      </c>
      <c r="M58" s="9">
        <f t="shared" si="2"/>
        <v>5000</v>
      </c>
      <c r="N58" s="9"/>
      <c r="O58" s="9"/>
      <c r="P58" s="9"/>
      <c r="Q58" s="9"/>
      <c r="R58" s="9"/>
      <c r="S58" s="9"/>
      <c r="T58" s="9"/>
      <c r="U58" s="13">
        <f t="shared" si="3"/>
        <v>0</v>
      </c>
      <c r="V58" s="13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ht="30.75" customHeight="1" x14ac:dyDescent="0.2">
      <c r="A59" s="8">
        <f t="shared" si="0"/>
        <v>56</v>
      </c>
      <c r="B59" s="9"/>
      <c r="C59" s="9" t="s">
        <v>93</v>
      </c>
      <c r="D59" s="10" t="str">
        <f>VLOOKUP(C59,Data!$B$2:$G$176,3,FALSE)</f>
        <v>MUHAMMED NAVAS</v>
      </c>
      <c r="E59" s="11" t="str">
        <f>VLOOKUP(C59,Data!$B$2:$G$176,4,FALSE)</f>
        <v>Thachakal8139881753</v>
      </c>
      <c r="F59" s="10" t="str">
        <f>VLOOKUP(C59,Data!$B$2:$G$176,5,FALSE)</f>
        <v>Malappuram</v>
      </c>
      <c r="G59" s="9" t="str">
        <f>VLOOKUP(C59,Data!$B$2:$G$176,6,FALSE)</f>
        <v>8139881753</v>
      </c>
      <c r="H59" s="9" t="s">
        <v>82</v>
      </c>
      <c r="I59" s="10"/>
      <c r="J59" s="8">
        <f t="shared" si="1"/>
        <v>15000</v>
      </c>
      <c r="K59" s="8">
        <v>10000</v>
      </c>
      <c r="L59" s="9">
        <v>30000</v>
      </c>
      <c r="M59" s="9">
        <f t="shared" si="2"/>
        <v>5000</v>
      </c>
      <c r="N59" s="9"/>
      <c r="O59" s="9"/>
      <c r="P59" s="9"/>
      <c r="Q59" s="9"/>
      <c r="R59" s="9"/>
      <c r="S59" s="9"/>
      <c r="T59" s="9"/>
      <c r="U59" s="13">
        <f t="shared" si="3"/>
        <v>0</v>
      </c>
      <c r="V59" s="13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ht="30.75" customHeight="1" x14ac:dyDescent="0.2">
      <c r="A60" s="8">
        <f t="shared" si="0"/>
        <v>57</v>
      </c>
      <c r="B60" s="9"/>
      <c r="C60" s="9" t="s">
        <v>94</v>
      </c>
      <c r="D60" s="10" t="str">
        <f>VLOOKUP(C60,Data!$B$2:$G$176,3,FALSE)</f>
        <v>NOOHUL AMEEN K T</v>
      </c>
      <c r="E60" s="11" t="str">
        <f>VLOOKUP(C60,Data!$B$2:$G$176,4,FALSE)</f>
        <v>HANASPULLOOPPI KANNADIPARAMBA</v>
      </c>
      <c r="F60" s="10" t="str">
        <f>VLOOKUP(C60,Data!$B$2:$G$176,5,FALSE)</f>
        <v>Kannur</v>
      </c>
      <c r="G60" s="9" t="str">
        <f>VLOOKUP(C60,Data!$B$2:$G$176,6,FALSE)</f>
        <v>9747638267</v>
      </c>
      <c r="H60" s="9" t="s">
        <v>82</v>
      </c>
      <c r="I60" s="10"/>
      <c r="J60" s="8">
        <f t="shared" si="1"/>
        <v>25000</v>
      </c>
      <c r="K60" s="8">
        <v>20000</v>
      </c>
      <c r="L60" s="9">
        <v>30000</v>
      </c>
      <c r="M60" s="9">
        <f t="shared" si="2"/>
        <v>5000</v>
      </c>
      <c r="N60" s="9"/>
      <c r="O60" s="9"/>
      <c r="P60" s="9"/>
      <c r="Q60" s="9"/>
      <c r="R60" s="9"/>
      <c r="S60" s="9"/>
      <c r="T60" s="9"/>
      <c r="U60" s="13">
        <f t="shared" si="3"/>
        <v>0</v>
      </c>
      <c r="V60" s="13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ht="30.75" customHeight="1" x14ac:dyDescent="0.2">
      <c r="A61" s="8">
        <f t="shared" si="0"/>
        <v>58</v>
      </c>
      <c r="B61" s="9"/>
      <c r="C61" s="9" t="s">
        <v>95</v>
      </c>
      <c r="D61" s="10" t="e">
        <f>VLOOKUP(C61,Data!$B$2:$G$176,3,FALSE)</f>
        <v>#N/A</v>
      </c>
      <c r="E61" s="11" t="e">
        <f>VLOOKUP(C61,Data!$B$2:$G$176,4,FALSE)</f>
        <v>#N/A</v>
      </c>
      <c r="F61" s="10" t="e">
        <f>VLOOKUP(C61,Data!$B$2:$G$176,5,FALSE)</f>
        <v>#N/A</v>
      </c>
      <c r="G61" s="9" t="e">
        <f>VLOOKUP(C61,Data!$B$2:$G$176,6,FALSE)</f>
        <v>#N/A</v>
      </c>
      <c r="H61" s="9" t="s">
        <v>82</v>
      </c>
      <c r="I61" s="10"/>
      <c r="J61" s="8">
        <f t="shared" si="1"/>
        <v>45000</v>
      </c>
      <c r="K61" s="8">
        <v>40000</v>
      </c>
      <c r="L61" s="9">
        <v>30000</v>
      </c>
      <c r="M61" s="9">
        <f t="shared" si="2"/>
        <v>5000</v>
      </c>
      <c r="N61" s="9"/>
      <c r="O61" s="9"/>
      <c r="P61" s="9"/>
      <c r="Q61" s="9"/>
      <c r="R61" s="9"/>
      <c r="S61" s="9"/>
      <c r="T61" s="9"/>
      <c r="U61" s="13">
        <f t="shared" si="3"/>
        <v>0</v>
      </c>
      <c r="V61" s="13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ht="30.75" customHeight="1" x14ac:dyDescent="0.2">
      <c r="A62" s="8">
        <f t="shared" si="0"/>
        <v>59</v>
      </c>
      <c r="B62" s="9"/>
      <c r="C62" s="9" t="s">
        <v>96</v>
      </c>
      <c r="D62" s="10" t="str">
        <f>VLOOKUP(C62,Data!$B$2:$G$176,3,FALSE)</f>
        <v>SHANAVAS.S</v>
      </c>
      <c r="E62" s="11">
        <f>VLOOKUP(C62,Data!$B$2:$G$176,4,FALSE)</f>
        <v>0</v>
      </c>
      <c r="F62" s="10" t="str">
        <f>VLOOKUP(C62,Data!$B$2:$G$176,5,FALSE)</f>
        <v>Thiruvanathapuram</v>
      </c>
      <c r="G62" s="9" t="str">
        <f>VLOOKUP(C62,Data!$B$2:$G$176,6,FALSE)</f>
        <v>7012033022</v>
      </c>
      <c r="H62" s="9" t="s">
        <v>82</v>
      </c>
      <c r="I62" s="10"/>
      <c r="J62" s="8">
        <f t="shared" si="1"/>
        <v>76000</v>
      </c>
      <c r="K62" s="8">
        <v>71000</v>
      </c>
      <c r="L62" s="9">
        <v>30000</v>
      </c>
      <c r="M62" s="9">
        <f t="shared" si="2"/>
        <v>5000</v>
      </c>
      <c r="N62" s="9"/>
      <c r="O62" s="9"/>
      <c r="P62" s="9"/>
      <c r="Q62" s="9"/>
      <c r="R62" s="9"/>
      <c r="S62" s="9"/>
      <c r="T62" s="9"/>
      <c r="U62" s="13">
        <f t="shared" si="3"/>
        <v>0</v>
      </c>
      <c r="V62" s="13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 ht="30.75" customHeight="1" x14ac:dyDescent="0.2">
      <c r="A63" s="8">
        <f t="shared" si="0"/>
        <v>60</v>
      </c>
      <c r="B63" s="9"/>
      <c r="C63" s="9" t="s">
        <v>97</v>
      </c>
      <c r="D63" s="10" t="str">
        <f>VLOOKUP(C63,Data!$B$2:$G$176,3,FALSE)</f>
        <v>MUSTHAFA</v>
      </c>
      <c r="E63" s="11" t="str">
        <f>VLOOKUP(C63,Data!$B$2:$G$176,4,FALSE)</f>
        <v>Mundiyan kandi house paravoorkondotty.pulikkal  6736379946113350</v>
      </c>
      <c r="F63" s="10" t="str">
        <f>VLOOKUP(C63,Data!$B$2:$G$176,5,FALSE)</f>
        <v>Malappuram</v>
      </c>
      <c r="G63" s="9" t="str">
        <f>VLOOKUP(C63,Data!$B$2:$G$176,6,FALSE)</f>
        <v>9946113350</v>
      </c>
      <c r="H63" s="9" t="s">
        <v>82</v>
      </c>
      <c r="I63" s="10"/>
      <c r="J63" s="8">
        <f t="shared" si="1"/>
        <v>22000</v>
      </c>
      <c r="K63" s="8">
        <v>17000</v>
      </c>
      <c r="L63" s="9">
        <v>30000</v>
      </c>
      <c r="M63" s="9">
        <f t="shared" si="2"/>
        <v>5000</v>
      </c>
      <c r="N63" s="9"/>
      <c r="O63" s="9"/>
      <c r="P63" s="9"/>
      <c r="Q63" s="9"/>
      <c r="R63" s="9"/>
      <c r="S63" s="9"/>
      <c r="T63" s="9"/>
      <c r="U63" s="13">
        <f t="shared" si="3"/>
        <v>0</v>
      </c>
      <c r="V63" s="13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ht="30.75" customHeight="1" x14ac:dyDescent="0.2">
      <c r="A64" s="8">
        <f t="shared" si="0"/>
        <v>61</v>
      </c>
      <c r="B64" s="9"/>
      <c r="C64" s="9" t="s">
        <v>98</v>
      </c>
      <c r="D64" s="10" t="str">
        <f>VLOOKUP(C64,Data!$B$2:$G$176,3,FALSE)</f>
        <v>SHAMEER VP</v>
      </c>
      <c r="E64" s="11" t="str">
        <f>VLOOKUP(C64,Data!$B$2:$G$176,4,FALSE)</f>
        <v>Karakkamal p.o karakkamal manadhavady wayanad 8089221358</v>
      </c>
      <c r="F64" s="10" t="str">
        <f>VLOOKUP(C64,Data!$B$2:$G$176,5,FALSE)</f>
        <v>Wayanad</v>
      </c>
      <c r="G64" s="9" t="str">
        <f>VLOOKUP(C64,Data!$B$2:$G$176,6,FALSE)</f>
        <v>8089221358</v>
      </c>
      <c r="H64" s="9" t="s">
        <v>82</v>
      </c>
      <c r="I64" s="10"/>
      <c r="J64" s="8">
        <f t="shared" si="1"/>
        <v>35000</v>
      </c>
      <c r="K64" s="8">
        <v>30000</v>
      </c>
      <c r="L64" s="9">
        <v>30000</v>
      </c>
      <c r="M64" s="9">
        <f t="shared" si="2"/>
        <v>5000</v>
      </c>
      <c r="N64" s="9"/>
      <c r="O64" s="9"/>
      <c r="P64" s="9"/>
      <c r="Q64" s="9"/>
      <c r="R64" s="9"/>
      <c r="S64" s="9"/>
      <c r="T64" s="9"/>
      <c r="U64" s="13">
        <f t="shared" si="3"/>
        <v>0</v>
      </c>
      <c r="V64" s="13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ht="30.75" customHeight="1" x14ac:dyDescent="0.2">
      <c r="A65" s="8">
        <f t="shared" si="0"/>
        <v>62</v>
      </c>
      <c r="B65" s="9"/>
      <c r="C65" s="9" t="s">
        <v>99</v>
      </c>
      <c r="D65" s="10" t="str">
        <f>VLOOKUP(C65,Data!$B$2:$G$176,3,FALSE)</f>
        <v>BASHEER KM</v>
      </c>
      <c r="E65" s="11" t="str">
        <f>VLOOKUP(C65,Data!$B$2:$G$176,4,FALSE)</f>
        <v>KALLARAMEETHAL MULIYANGAL CHENOLI PO 673525 KOZHIKODE9048636455</v>
      </c>
      <c r="F65" s="10" t="str">
        <f>VLOOKUP(C65,Data!$B$2:$G$176,5,FALSE)</f>
        <v>Kozhikkode</v>
      </c>
      <c r="G65" s="9" t="str">
        <f>VLOOKUP(C65,Data!$B$2:$G$176,6,FALSE)</f>
        <v>9048636455</v>
      </c>
      <c r="H65" s="9" t="s">
        <v>82</v>
      </c>
      <c r="I65" s="10"/>
      <c r="J65" s="8">
        <f t="shared" si="1"/>
        <v>15000</v>
      </c>
      <c r="K65" s="8">
        <v>10000</v>
      </c>
      <c r="L65" s="9">
        <v>30000</v>
      </c>
      <c r="M65" s="9">
        <f t="shared" si="2"/>
        <v>5000</v>
      </c>
      <c r="N65" s="9"/>
      <c r="O65" s="9"/>
      <c r="P65" s="9"/>
      <c r="Q65" s="9"/>
      <c r="R65" s="9"/>
      <c r="S65" s="9"/>
      <c r="T65" s="9"/>
      <c r="U65" s="13">
        <f t="shared" si="3"/>
        <v>0</v>
      </c>
      <c r="V65" s="13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ht="30.75" customHeight="1" x14ac:dyDescent="0.2">
      <c r="A66" s="8">
        <f t="shared" si="0"/>
        <v>63</v>
      </c>
      <c r="B66" s="9"/>
      <c r="C66" s="9" t="s">
        <v>100</v>
      </c>
      <c r="D66" s="10" t="str">
        <f>VLOOKUP(C66,Data!$B$2:$G$176,3,FALSE)</f>
        <v>ABDUL RAZAK MK</v>
      </c>
      <c r="E66" s="11" t="str">
        <f>VLOOKUP(C66,Data!$B$2:$G$176,4,FALSE)</f>
        <v>MANGALOTTKUNNUMMAL ELETTIL ELETTIL PO</v>
      </c>
      <c r="F66" s="10" t="str">
        <f>VLOOKUP(C66,Data!$B$2:$G$176,5,FALSE)</f>
        <v>Kozhikkode</v>
      </c>
      <c r="G66" s="9" t="str">
        <f>VLOOKUP(C66,Data!$B$2:$G$176,6,FALSE)</f>
        <v>9745387167</v>
      </c>
      <c r="H66" s="9" t="s">
        <v>101</v>
      </c>
      <c r="I66" s="10"/>
      <c r="J66" s="8">
        <f t="shared" si="1"/>
        <v>15000</v>
      </c>
      <c r="K66" s="8">
        <v>10000</v>
      </c>
      <c r="L66" s="9">
        <v>30000</v>
      </c>
      <c r="M66" s="9">
        <f t="shared" si="2"/>
        <v>5000</v>
      </c>
      <c r="N66" s="9"/>
      <c r="O66" s="9"/>
      <c r="P66" s="9"/>
      <c r="Q66" s="9"/>
      <c r="R66" s="9"/>
      <c r="S66" s="9"/>
      <c r="T66" s="9"/>
      <c r="U66" s="13">
        <f t="shared" si="3"/>
        <v>0</v>
      </c>
      <c r="V66" s="13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ht="30.75" customHeight="1" x14ac:dyDescent="0.2">
      <c r="A67" s="8">
        <f t="shared" si="0"/>
        <v>64</v>
      </c>
      <c r="B67" s="9"/>
      <c r="C67" s="9" t="s">
        <v>102</v>
      </c>
      <c r="D67" s="10" t="str">
        <f>VLOOKUP(C67,Data!$B$2:$G$176,3,FALSE)</f>
        <v>BIJU S</v>
      </c>
      <c r="E67" s="11" t="str">
        <f>VLOOKUP(C67,Data!$B$2:$G$176,4,FALSE)</f>
        <v>Kizakkumkara Veedu Neetani Poonkavanam Cullimanoor P O Anad PO 7902864924</v>
      </c>
      <c r="F67" s="10" t="str">
        <f>VLOOKUP(C67,Data!$B$2:$G$176,5,FALSE)</f>
        <v>Thiruvanathapuram</v>
      </c>
      <c r="G67" s="9" t="str">
        <f>VLOOKUP(C67,Data!$B$2:$G$176,6,FALSE)</f>
        <v>7902864924</v>
      </c>
      <c r="H67" s="9" t="s">
        <v>101</v>
      </c>
      <c r="I67" s="10"/>
      <c r="J67" s="8">
        <f t="shared" si="1"/>
        <v>55000</v>
      </c>
      <c r="K67" s="8">
        <v>50000</v>
      </c>
      <c r="L67" s="9">
        <v>30000</v>
      </c>
      <c r="M67" s="9">
        <f t="shared" si="2"/>
        <v>5000</v>
      </c>
      <c r="N67" s="9"/>
      <c r="O67" s="9"/>
      <c r="P67" s="9"/>
      <c r="Q67" s="9"/>
      <c r="R67" s="9"/>
      <c r="S67" s="9"/>
      <c r="T67" s="9"/>
      <c r="U67" s="13">
        <f t="shared" si="3"/>
        <v>0</v>
      </c>
      <c r="V67" s="13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ht="30.75" customHeight="1" x14ac:dyDescent="0.2">
      <c r="A68" s="8">
        <f t="shared" si="0"/>
        <v>65</v>
      </c>
      <c r="B68" s="9"/>
      <c r="C68" s="9" t="s">
        <v>103</v>
      </c>
      <c r="D68" s="10" t="str">
        <f>VLOOKUP(C68,Data!$B$2:$G$176,3,FALSE)</f>
        <v>NISSAMUDEEN V.I</v>
      </c>
      <c r="E68" s="11" t="str">
        <f>VLOOKUP(C68,Data!$B$2:$G$176,4,FALSE)</f>
        <v>Varikkatu(H) chennappady (po) kottayam9605438110</v>
      </c>
      <c r="F68" s="10" t="str">
        <f>VLOOKUP(C68,Data!$B$2:$G$176,5,FALSE)</f>
        <v>Kottayam</v>
      </c>
      <c r="G68" s="9" t="str">
        <f>VLOOKUP(C68,Data!$B$2:$G$176,6,FALSE)</f>
        <v>9605438110</v>
      </c>
      <c r="H68" s="9" t="s">
        <v>101</v>
      </c>
      <c r="I68" s="10"/>
      <c r="J68" s="8">
        <f t="shared" si="1"/>
        <v>10000</v>
      </c>
      <c r="K68" s="8">
        <v>5000</v>
      </c>
      <c r="L68" s="9">
        <v>30000</v>
      </c>
      <c r="M68" s="9">
        <f t="shared" si="2"/>
        <v>5000</v>
      </c>
      <c r="N68" s="9"/>
      <c r="O68" s="9"/>
      <c r="P68" s="9"/>
      <c r="Q68" s="9"/>
      <c r="R68" s="9"/>
      <c r="S68" s="9"/>
      <c r="T68" s="9"/>
      <c r="U68" s="13">
        <f t="shared" si="3"/>
        <v>0</v>
      </c>
      <c r="V68" s="13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ht="30.75" customHeight="1" x14ac:dyDescent="0.2">
      <c r="A69" s="8">
        <f t="shared" si="0"/>
        <v>66</v>
      </c>
      <c r="B69" s="9"/>
      <c r="C69" s="9" t="s">
        <v>104</v>
      </c>
      <c r="D69" s="10" t="str">
        <f>VLOOKUP(C69,Data!$B$2:$G$176,3,FALSE)</f>
        <v>AFZEL RI</v>
      </c>
      <c r="E69" s="11" t="str">
        <f>VLOOKUP(C69,Data!$B$2:$G$176,4,FALSE)</f>
        <v>RAYAMMARAKKAR HOUSE THIRUNELLUR MULLASSERY THRISSUR PIN 6805089846114423</v>
      </c>
      <c r="F69" s="10" t="str">
        <f>VLOOKUP(C69,Data!$B$2:$G$176,5,FALSE)</f>
        <v>Thrissur</v>
      </c>
      <c r="G69" s="9" t="str">
        <f>VLOOKUP(C69,Data!$B$2:$G$176,6,FALSE)</f>
        <v>9846114423</v>
      </c>
      <c r="H69" s="9" t="s">
        <v>101</v>
      </c>
      <c r="I69" s="10"/>
      <c r="J69" s="8">
        <f t="shared" si="1"/>
        <v>5000</v>
      </c>
      <c r="K69" s="8">
        <v>0</v>
      </c>
      <c r="L69" s="9">
        <v>30000</v>
      </c>
      <c r="M69" s="9">
        <f t="shared" si="2"/>
        <v>5000</v>
      </c>
      <c r="N69" s="9"/>
      <c r="O69" s="9"/>
      <c r="P69" s="9"/>
      <c r="Q69" s="9"/>
      <c r="R69" s="9"/>
      <c r="S69" s="9"/>
      <c r="T69" s="9"/>
      <c r="U69" s="13">
        <f t="shared" si="3"/>
        <v>0</v>
      </c>
      <c r="V69" s="13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ht="30.75" customHeight="1" x14ac:dyDescent="0.2">
      <c r="A70" s="8">
        <f t="shared" si="0"/>
        <v>67</v>
      </c>
      <c r="B70" s="9"/>
      <c r="C70" s="9" t="s">
        <v>105</v>
      </c>
      <c r="D70" s="10" t="str">
        <f>VLOOKUP(C70,Data!$B$2:$G$176,3,FALSE)</f>
        <v>RASHEED</v>
      </c>
      <c r="E70" s="11" t="str">
        <f>VLOOKUP(C70,Data!$B$2:$G$176,4,FALSE)</f>
        <v>Puthuvel vila puthen veedu menappara kallambalam.p.o695605</v>
      </c>
      <c r="F70" s="10" t="str">
        <f>VLOOKUP(C70,Data!$B$2:$G$176,5,FALSE)</f>
        <v>Thiruvanathapuram</v>
      </c>
      <c r="G70" s="9" t="str">
        <f>VLOOKUP(C70,Data!$B$2:$G$176,6,FALSE)</f>
        <v>8129293039</v>
      </c>
      <c r="H70" s="9" t="s">
        <v>101</v>
      </c>
      <c r="I70" s="10"/>
      <c r="J70" s="8">
        <f t="shared" si="1"/>
        <v>40000</v>
      </c>
      <c r="K70" s="8">
        <v>35000</v>
      </c>
      <c r="L70" s="9">
        <v>30000</v>
      </c>
      <c r="M70" s="9">
        <f t="shared" si="2"/>
        <v>5000</v>
      </c>
      <c r="N70" s="9"/>
      <c r="O70" s="9"/>
      <c r="P70" s="9"/>
      <c r="Q70" s="9"/>
      <c r="R70" s="9"/>
      <c r="S70" s="9"/>
      <c r="T70" s="9"/>
      <c r="U70" s="13">
        <f t="shared" si="3"/>
        <v>0</v>
      </c>
      <c r="V70" s="13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ht="30.75" customHeight="1" x14ac:dyDescent="0.2">
      <c r="A71" s="8">
        <f t="shared" si="0"/>
        <v>68</v>
      </c>
      <c r="B71" s="9"/>
      <c r="C71" s="9" t="s">
        <v>106</v>
      </c>
      <c r="D71" s="10" t="str">
        <f>VLOOKUP(C71,Data!$B$2:$G$176,3,FALSE)</f>
        <v>ASHRAF KV</v>
      </c>
      <c r="E71" s="11" t="str">
        <f>VLOOKUP(C71,Data!$B$2:$G$176,4,FALSE)</f>
        <v>KULANGARA VEETIL  HOUSEPANTHAVOOR ALAMCODE</v>
      </c>
      <c r="F71" s="10" t="str">
        <f>VLOOKUP(C71,Data!$B$2:$G$176,5,FALSE)</f>
        <v>Malappuram</v>
      </c>
      <c r="G71" s="9" t="str">
        <f>VLOOKUP(C71,Data!$B$2:$G$176,6,FALSE)</f>
        <v>9846240849</v>
      </c>
      <c r="H71" s="9" t="s">
        <v>101</v>
      </c>
      <c r="I71" s="10"/>
      <c r="J71" s="8">
        <f t="shared" si="1"/>
        <v>55000</v>
      </c>
      <c r="K71" s="8">
        <v>50000</v>
      </c>
      <c r="L71" s="9">
        <v>30000</v>
      </c>
      <c r="M71" s="9">
        <f t="shared" si="2"/>
        <v>5000</v>
      </c>
      <c r="N71" s="9"/>
      <c r="O71" s="9"/>
      <c r="P71" s="9"/>
      <c r="Q71" s="9"/>
      <c r="R71" s="9"/>
      <c r="S71" s="9"/>
      <c r="T71" s="9"/>
      <c r="U71" s="13">
        <f t="shared" si="3"/>
        <v>0</v>
      </c>
      <c r="V71" s="13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ht="30.75" customHeight="1" x14ac:dyDescent="0.2">
      <c r="A72" s="8">
        <f t="shared" si="0"/>
        <v>69</v>
      </c>
      <c r="B72" s="9"/>
      <c r="C72" s="9" t="s">
        <v>107</v>
      </c>
      <c r="D72" s="10" t="str">
        <f>VLOOKUP(C72,Data!$B$2:$G$176,3,FALSE)</f>
        <v>HAKKIM K</v>
      </c>
      <c r="E72" s="11" t="str">
        <f>VLOOKUP(C72,Data!$B$2:$G$176,4,FALSE)</f>
        <v>Thavakkal manzil kunnilkada Mudapuram PO kizhuvilam chirayenkeezh 960555628</v>
      </c>
      <c r="F72" s="10" t="str">
        <f>VLOOKUP(C72,Data!$B$2:$G$176,5,FALSE)</f>
        <v>Thiruvanathapuram</v>
      </c>
      <c r="G72" s="9" t="str">
        <f>VLOOKUP(C72,Data!$B$2:$G$176,6,FALSE)</f>
        <v xml:space="preserve"> 960555628</v>
      </c>
      <c r="H72" s="9" t="s">
        <v>101</v>
      </c>
      <c r="I72" s="10"/>
      <c r="J72" s="8">
        <f t="shared" si="1"/>
        <v>30000</v>
      </c>
      <c r="K72" s="8">
        <v>25000</v>
      </c>
      <c r="L72" s="9">
        <v>30000</v>
      </c>
      <c r="M72" s="9">
        <f t="shared" si="2"/>
        <v>5000</v>
      </c>
      <c r="N72" s="9"/>
      <c r="O72" s="9"/>
      <c r="P72" s="9"/>
      <c r="Q72" s="9"/>
      <c r="R72" s="9"/>
      <c r="S72" s="9"/>
      <c r="T72" s="9"/>
      <c r="U72" s="13">
        <f t="shared" si="3"/>
        <v>0</v>
      </c>
      <c r="V72" s="13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ht="30.75" customHeight="1" x14ac:dyDescent="0.2">
      <c r="A73" s="8">
        <f t="shared" si="0"/>
        <v>70</v>
      </c>
      <c r="B73" s="9"/>
      <c r="C73" s="9" t="s">
        <v>108</v>
      </c>
      <c r="D73" s="10" t="str">
        <f>VLOOKUP(C73,Data!$B$2:$G$176,3,FALSE)</f>
        <v>MOHAMMED SOOPY</v>
      </c>
      <c r="E73" s="11" t="str">
        <f>VLOOKUP(C73,Data!$B$2:$G$176,4,FALSE)</f>
        <v>Edappatta edapattamalappuram kerala 6793268086505620</v>
      </c>
      <c r="F73" s="10" t="str">
        <f>VLOOKUP(C73,Data!$B$2:$G$176,5,FALSE)</f>
        <v>Malappuram</v>
      </c>
      <c r="G73" s="9" t="str">
        <f>VLOOKUP(C73,Data!$B$2:$G$176,6,FALSE)</f>
        <v>8086505620</v>
      </c>
      <c r="H73" s="9" t="s">
        <v>101</v>
      </c>
      <c r="I73" s="10"/>
      <c r="J73" s="8">
        <f t="shared" si="1"/>
        <v>15000</v>
      </c>
      <c r="K73" s="8">
        <v>10000</v>
      </c>
      <c r="L73" s="9">
        <v>30000</v>
      </c>
      <c r="M73" s="9">
        <f t="shared" si="2"/>
        <v>5000</v>
      </c>
      <c r="N73" s="9"/>
      <c r="O73" s="9"/>
      <c r="P73" s="9"/>
      <c r="Q73" s="9"/>
      <c r="R73" s="9"/>
      <c r="S73" s="9"/>
      <c r="T73" s="9"/>
      <c r="U73" s="13">
        <f t="shared" si="3"/>
        <v>0</v>
      </c>
      <c r="V73" s="13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ht="30.75" customHeight="1" x14ac:dyDescent="0.2">
      <c r="A74" s="8">
        <f t="shared" si="0"/>
        <v>71</v>
      </c>
      <c r="B74" s="9"/>
      <c r="C74" s="9" t="s">
        <v>109</v>
      </c>
      <c r="D74" s="10" t="str">
        <f>VLOOKUP(C74,Data!$B$2:$G$176,3,FALSE)</f>
        <v>SHAJI N K</v>
      </c>
      <c r="E74" s="11" t="str">
        <f>VLOOKUP(C74,Data!$B$2:$G$176,4,FALSE)</f>
        <v>NADUKKANDYNADERI PO673620</v>
      </c>
      <c r="F74" s="10" t="str">
        <f>VLOOKUP(C74,Data!$B$2:$G$176,5,FALSE)</f>
        <v>Kozhikkode</v>
      </c>
      <c r="G74" s="9" t="str">
        <f>VLOOKUP(C74,Data!$B$2:$G$176,6,FALSE)</f>
        <v>9947932129</v>
      </c>
      <c r="H74" s="9" t="s">
        <v>101</v>
      </c>
      <c r="I74" s="10"/>
      <c r="J74" s="8">
        <f t="shared" si="1"/>
        <v>30000</v>
      </c>
      <c r="K74" s="8">
        <v>25000</v>
      </c>
      <c r="L74" s="9">
        <v>30000</v>
      </c>
      <c r="M74" s="9">
        <f t="shared" si="2"/>
        <v>5000</v>
      </c>
      <c r="N74" s="9"/>
      <c r="O74" s="9"/>
      <c r="P74" s="9"/>
      <c r="Q74" s="9"/>
      <c r="R74" s="9"/>
      <c r="S74" s="9"/>
      <c r="T74" s="9"/>
      <c r="U74" s="13">
        <f t="shared" si="3"/>
        <v>0</v>
      </c>
      <c r="V74" s="13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ht="30.75" customHeight="1" x14ac:dyDescent="0.2">
      <c r="A75" s="8">
        <f t="shared" si="0"/>
        <v>72</v>
      </c>
      <c r="B75" s="9"/>
      <c r="C75" s="9" t="s">
        <v>110</v>
      </c>
      <c r="D75" s="10" t="str">
        <f>VLOOKUP(C75,Data!$B$2:$G$176,3,FALSE)</f>
        <v>ABDUL RASHEED M. A</v>
      </c>
      <c r="E75" s="11" t="str">
        <f>VLOOKUP(C75,Data!$B$2:$G$176,4,FALSE)</f>
        <v>Mandhiyil (H)8129887739</v>
      </c>
      <c r="F75" s="10">
        <f>VLOOKUP(C75,Data!$B$2:$G$176,5,FALSE)</f>
        <v>0</v>
      </c>
      <c r="G75" s="9" t="str">
        <f>VLOOKUP(C75,Data!$B$2:$G$176,6,FALSE)</f>
        <v>8129887739</v>
      </c>
      <c r="H75" s="9" t="s">
        <v>101</v>
      </c>
      <c r="I75" s="10"/>
      <c r="J75" s="8">
        <f t="shared" si="1"/>
        <v>40000</v>
      </c>
      <c r="K75" s="8">
        <v>35000</v>
      </c>
      <c r="L75" s="9">
        <v>30000</v>
      </c>
      <c r="M75" s="9">
        <f t="shared" si="2"/>
        <v>5000</v>
      </c>
      <c r="N75" s="9"/>
      <c r="O75" s="9"/>
      <c r="P75" s="9"/>
      <c r="Q75" s="9"/>
      <c r="R75" s="9"/>
      <c r="S75" s="9"/>
      <c r="T75" s="9"/>
      <c r="U75" s="13">
        <f t="shared" si="3"/>
        <v>0</v>
      </c>
      <c r="V75" s="13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ht="30.75" customHeight="1" x14ac:dyDescent="0.2">
      <c r="A76" s="8">
        <f t="shared" si="0"/>
        <v>73</v>
      </c>
      <c r="B76" s="9"/>
      <c r="C76" s="9" t="s">
        <v>111</v>
      </c>
      <c r="D76" s="10" t="str">
        <f>VLOOKUP(C76,Data!$B$2:$G$176,3,FALSE)</f>
        <v>MUHAMMED ALI</v>
      </c>
      <c r="E76" s="11" t="str">
        <f>VLOOKUP(C76,Data!$B$2:$G$176,4,FALSE)</f>
        <v>Kakkotakkath housepannoyoorpallivayal</v>
      </c>
      <c r="F76" s="10" t="str">
        <f>VLOOKUP(C76,Data!$B$2:$G$176,5,FALSE)</f>
        <v>Kannur</v>
      </c>
      <c r="G76" s="9" t="str">
        <f>VLOOKUP(C76,Data!$B$2:$G$176,6,FALSE)</f>
        <v>9567800131</v>
      </c>
      <c r="H76" s="9" t="s">
        <v>101</v>
      </c>
      <c r="I76" s="10"/>
      <c r="J76" s="8">
        <f t="shared" si="1"/>
        <v>60000</v>
      </c>
      <c r="K76" s="8">
        <v>55000</v>
      </c>
      <c r="L76" s="9">
        <v>30000</v>
      </c>
      <c r="M76" s="9">
        <f t="shared" si="2"/>
        <v>5000</v>
      </c>
      <c r="N76" s="9"/>
      <c r="O76" s="9"/>
      <c r="P76" s="9"/>
      <c r="Q76" s="9"/>
      <c r="R76" s="9"/>
      <c r="S76" s="9"/>
      <c r="T76" s="9"/>
      <c r="U76" s="13">
        <f t="shared" si="3"/>
        <v>0</v>
      </c>
      <c r="V76" s="13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ht="30.75" customHeight="1" x14ac:dyDescent="0.2">
      <c r="A77" s="8">
        <f t="shared" si="0"/>
        <v>74</v>
      </c>
      <c r="B77" s="9"/>
      <c r="C77" s="9" t="s">
        <v>112</v>
      </c>
      <c r="D77" s="10" t="str">
        <f>VLOOKUP(C77,Data!$B$2:$G$176,3,FALSE)</f>
        <v>JAMAL.P</v>
      </c>
      <c r="E77" s="11" t="str">
        <f>VLOOKUP(C77,Data!$B$2:$G$176,4,FALSE)</f>
        <v>PONNIARINADERI PO673620</v>
      </c>
      <c r="F77" s="10" t="str">
        <f>VLOOKUP(C77,Data!$B$2:$G$176,5,FALSE)</f>
        <v>Kozhikkode</v>
      </c>
      <c r="G77" s="9" t="str">
        <f>VLOOKUP(C77,Data!$B$2:$G$176,6,FALSE)</f>
        <v>8281578635</v>
      </c>
      <c r="H77" s="9" t="s">
        <v>101</v>
      </c>
      <c r="I77" s="10"/>
      <c r="J77" s="8">
        <f t="shared" si="1"/>
        <v>40000</v>
      </c>
      <c r="K77" s="8">
        <v>35000</v>
      </c>
      <c r="L77" s="9">
        <v>30000</v>
      </c>
      <c r="M77" s="9">
        <f t="shared" si="2"/>
        <v>5000</v>
      </c>
      <c r="N77" s="9"/>
      <c r="O77" s="9"/>
      <c r="P77" s="9"/>
      <c r="Q77" s="9"/>
      <c r="R77" s="9"/>
      <c r="S77" s="9"/>
      <c r="T77" s="9"/>
      <c r="U77" s="13">
        <f t="shared" si="3"/>
        <v>0</v>
      </c>
      <c r="V77" s="13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ht="30.75" customHeight="1" x14ac:dyDescent="0.2">
      <c r="A78" s="8">
        <f t="shared" si="0"/>
        <v>75</v>
      </c>
      <c r="B78" s="9"/>
      <c r="C78" s="9" t="s">
        <v>113</v>
      </c>
      <c r="D78" s="10" t="str">
        <f>VLOOKUP(C78,Data!$B$2:$G$176,3,FALSE)</f>
        <v>RAFI</v>
      </c>
      <c r="E78" s="11" t="str">
        <f>VLOOKUP(C78,Data!$B$2:$G$176,4,FALSE)</f>
        <v>RODUVILAKATHU PUTHAN VEEDU KOLLAYIL PO KOLLAYIL8943958647</v>
      </c>
      <c r="F78" s="10" t="str">
        <f>VLOOKUP(C78,Data!$B$2:$G$176,5,FALSE)</f>
        <v>Thiruvanathapuram</v>
      </c>
      <c r="G78" s="9" t="str">
        <f>VLOOKUP(C78,Data!$B$2:$G$176,6,FALSE)</f>
        <v>8943958647</v>
      </c>
      <c r="H78" s="9" t="s">
        <v>101</v>
      </c>
      <c r="I78" s="10"/>
      <c r="J78" s="8">
        <f t="shared" si="1"/>
        <v>15000</v>
      </c>
      <c r="K78" s="8">
        <v>10000</v>
      </c>
      <c r="L78" s="9">
        <v>30000</v>
      </c>
      <c r="M78" s="9">
        <f t="shared" si="2"/>
        <v>5000</v>
      </c>
      <c r="N78" s="9"/>
      <c r="O78" s="9"/>
      <c r="P78" s="9"/>
      <c r="Q78" s="9"/>
      <c r="R78" s="9"/>
      <c r="S78" s="9"/>
      <c r="T78" s="9"/>
      <c r="U78" s="13">
        <f t="shared" si="3"/>
        <v>0</v>
      </c>
      <c r="V78" s="13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ht="30.75" customHeight="1" x14ac:dyDescent="0.2">
      <c r="A79" s="8">
        <f t="shared" si="0"/>
        <v>76</v>
      </c>
      <c r="B79" s="9"/>
      <c r="C79" s="9" t="s">
        <v>75</v>
      </c>
      <c r="D79" s="10" t="str">
        <f>VLOOKUP(C79,Data!$B$2:$G$176,3,FALSE)</f>
        <v>ABDUL JALEEL</v>
      </c>
      <c r="E79" s="11" t="str">
        <f>VLOOKUP(C79,Data!$B$2:$G$176,4,FALSE)</f>
        <v>Chorode (po) vaikilaseri,  Chorode panayath, 9447544278 ,</v>
      </c>
      <c r="F79" s="10" t="str">
        <f>VLOOKUP(C79,Data!$B$2:$G$176,5,FALSE)</f>
        <v>Kozikode</v>
      </c>
      <c r="G79" s="9" t="str">
        <f>VLOOKUP(C79,Data!$B$2:$G$176,6,FALSE)</f>
        <v>9447544278 ,</v>
      </c>
      <c r="H79" s="9" t="s">
        <v>101</v>
      </c>
      <c r="I79" s="10"/>
      <c r="J79" s="8">
        <f t="shared" si="1"/>
        <v>35000</v>
      </c>
      <c r="K79" s="8">
        <v>30000</v>
      </c>
      <c r="L79" s="9">
        <v>30000</v>
      </c>
      <c r="M79" s="9">
        <f t="shared" si="2"/>
        <v>5000</v>
      </c>
      <c r="N79" s="9"/>
      <c r="O79" s="9"/>
      <c r="P79" s="9"/>
      <c r="Q79" s="9"/>
      <c r="R79" s="9"/>
      <c r="S79" s="9"/>
      <c r="T79" s="9"/>
      <c r="U79" s="13">
        <f t="shared" si="3"/>
        <v>0</v>
      </c>
      <c r="V79" s="13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ht="30.75" customHeight="1" x14ac:dyDescent="0.2">
      <c r="A80" s="8">
        <f t="shared" si="0"/>
        <v>77</v>
      </c>
      <c r="B80" s="9"/>
      <c r="C80" s="9" t="s">
        <v>114</v>
      </c>
      <c r="D80" s="10" t="str">
        <f>VLOOKUP(C80,Data!$B$2:$G$176,3,FALSE)</f>
        <v>SAKKIR.H</v>
      </c>
      <c r="E80" s="11" t="str">
        <f>VLOOKUP(C80,Data!$B$2:$G$176,4,FALSE)</f>
        <v>Charivuthund purayidamkumbazha P.O Pathanamthitta8907386565</v>
      </c>
      <c r="F80" s="10" t="str">
        <f>VLOOKUP(C80,Data!$B$2:$G$176,5,FALSE)</f>
        <v>Pathanamthitta</v>
      </c>
      <c r="G80" s="9" t="str">
        <f>VLOOKUP(C80,Data!$B$2:$G$176,6,FALSE)</f>
        <v>8907386565</v>
      </c>
      <c r="H80" s="9" t="s">
        <v>101</v>
      </c>
      <c r="I80" s="10"/>
      <c r="J80" s="8">
        <f t="shared" si="1"/>
        <v>55000</v>
      </c>
      <c r="K80" s="8">
        <v>50000</v>
      </c>
      <c r="L80" s="9">
        <v>30000</v>
      </c>
      <c r="M80" s="9">
        <f t="shared" si="2"/>
        <v>5000</v>
      </c>
      <c r="N80" s="9"/>
      <c r="O80" s="9"/>
      <c r="P80" s="9"/>
      <c r="Q80" s="9"/>
      <c r="R80" s="9"/>
      <c r="S80" s="9"/>
      <c r="T80" s="9"/>
      <c r="U80" s="13">
        <f t="shared" si="3"/>
        <v>0</v>
      </c>
      <c r="V80" s="13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34" ht="30.75" customHeight="1" x14ac:dyDescent="0.2">
      <c r="A81" s="8">
        <f t="shared" si="0"/>
        <v>78</v>
      </c>
      <c r="B81" s="9"/>
      <c r="C81" s="9" t="s">
        <v>115</v>
      </c>
      <c r="D81" s="10" t="str">
        <f>VLOOKUP(C81,Data!$B$2:$G$176,3,FALSE)</f>
        <v>ABDUL KAREEM</v>
      </c>
      <c r="E81" s="11" t="str">
        <f>VLOOKUP(C81,Data!$B$2:$G$176,4,FALSE)</f>
        <v>VALIYAKKATHODI PATHUMOOCHI VALIYORA PO</v>
      </c>
      <c r="F81" s="10" t="str">
        <f>VLOOKUP(C81,Data!$B$2:$G$176,5,FALSE)</f>
        <v>Malappuram</v>
      </c>
      <c r="G81" s="9" t="str">
        <f>VLOOKUP(C81,Data!$B$2:$G$176,6,FALSE)</f>
        <v>9496285790</v>
      </c>
      <c r="H81" s="9" t="s">
        <v>101</v>
      </c>
      <c r="I81" s="10"/>
      <c r="J81" s="8">
        <f t="shared" si="1"/>
        <v>15500</v>
      </c>
      <c r="K81" s="8">
        <v>10500</v>
      </c>
      <c r="L81" s="9">
        <v>30000</v>
      </c>
      <c r="M81" s="9">
        <f t="shared" si="2"/>
        <v>5000</v>
      </c>
      <c r="N81" s="9"/>
      <c r="O81" s="9"/>
      <c r="P81" s="9"/>
      <c r="Q81" s="9"/>
      <c r="R81" s="9"/>
      <c r="S81" s="9"/>
      <c r="T81" s="9"/>
      <c r="U81" s="13">
        <f t="shared" si="3"/>
        <v>0</v>
      </c>
      <c r="V81" s="13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ht="30.75" customHeight="1" x14ac:dyDescent="0.2">
      <c r="A82" s="8">
        <f t="shared" si="0"/>
        <v>79</v>
      </c>
      <c r="B82" s="9"/>
      <c r="C82" s="9" t="s">
        <v>116</v>
      </c>
      <c r="D82" s="10" t="str">
        <f>VLOOKUP(C82,Data!$B$2:$G$176,3,FALSE)</f>
        <v>MUHAMMED ALI C</v>
      </c>
      <c r="E82" s="11" t="str">
        <f>VLOOKUP(C82,Data!$B$2:$G$176,4,FALSE)</f>
        <v>PULIKKOOL H LIYIL ULIYIL PO</v>
      </c>
      <c r="F82" s="10" t="str">
        <f>VLOOKUP(C82,Data!$B$2:$G$176,5,FALSE)</f>
        <v>Kannur</v>
      </c>
      <c r="G82" s="9" t="str">
        <f>VLOOKUP(C82,Data!$B$2:$G$176,6,FALSE)</f>
        <v>9526096242</v>
      </c>
      <c r="H82" s="9" t="s">
        <v>101</v>
      </c>
      <c r="I82" s="10"/>
      <c r="J82" s="8">
        <f t="shared" si="1"/>
        <v>25000</v>
      </c>
      <c r="K82" s="8">
        <v>20000</v>
      </c>
      <c r="L82" s="9">
        <v>30000</v>
      </c>
      <c r="M82" s="9">
        <f t="shared" si="2"/>
        <v>5000</v>
      </c>
      <c r="N82" s="9"/>
      <c r="O82" s="9"/>
      <c r="P82" s="9"/>
      <c r="Q82" s="9"/>
      <c r="R82" s="9"/>
      <c r="S82" s="9"/>
      <c r="T82" s="9"/>
      <c r="U82" s="13">
        <f t="shared" si="3"/>
        <v>0</v>
      </c>
      <c r="V82" s="13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34" ht="30.75" customHeight="1" x14ac:dyDescent="0.2">
      <c r="A83" s="8">
        <f t="shared" si="0"/>
        <v>80</v>
      </c>
      <c r="B83" s="9"/>
      <c r="C83" s="9" t="s">
        <v>117</v>
      </c>
      <c r="D83" s="10" t="str">
        <f>VLOOKUP(C83,Data!$B$2:$G$176,3,FALSE)</f>
        <v>ASHRAF CP</v>
      </c>
      <c r="E83" s="11" t="str">
        <f>VLOOKUP(C83,Data!$B$2:$G$176,4,FALSE)</f>
        <v>Malappuram, 9995505516</v>
      </c>
      <c r="F83" s="10" t="str">
        <f>VLOOKUP(C83,Data!$B$2:$G$176,5,FALSE)</f>
        <v>Malappuram</v>
      </c>
      <c r="G83" s="9">
        <f>VLOOKUP(C83,Data!$B$2:$G$176,6,FALSE)</f>
        <v>9995505516</v>
      </c>
      <c r="H83" s="9" t="s">
        <v>752</v>
      </c>
      <c r="I83" s="10"/>
      <c r="J83" s="8">
        <f t="shared" si="1"/>
        <v>25000</v>
      </c>
      <c r="K83" s="8">
        <v>20000</v>
      </c>
      <c r="L83" s="9">
        <v>30000</v>
      </c>
      <c r="M83" s="9">
        <f t="shared" si="2"/>
        <v>5000</v>
      </c>
      <c r="N83" s="9"/>
      <c r="O83" s="9"/>
      <c r="P83" s="9"/>
      <c r="Q83" s="9"/>
      <c r="R83" s="9"/>
      <c r="S83" s="9"/>
      <c r="T83" s="9"/>
      <c r="U83" s="13">
        <f t="shared" si="3"/>
        <v>0</v>
      </c>
      <c r="V83" s="13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34" ht="30.75" customHeight="1" x14ac:dyDescent="0.2">
      <c r="A84" s="8">
        <f t="shared" si="0"/>
        <v>81</v>
      </c>
      <c r="B84" s="9"/>
      <c r="C84" s="9" t="s">
        <v>119</v>
      </c>
      <c r="D84" s="10" t="str">
        <f>VLOOKUP(C84,Data!$B$2:$G$176,3,FALSE)</f>
        <v/>
      </c>
      <c r="E84" s="11">
        <f>VLOOKUP(C84,Data!$B$2:$G$176,4,FALSE)</f>
        <v>0</v>
      </c>
      <c r="F84" s="10">
        <f>VLOOKUP(C84,Data!$B$2:$G$176,5,FALSE)</f>
        <v>0</v>
      </c>
      <c r="G84" s="9">
        <f>VLOOKUP(C84,Data!$B$2:$G$176,6,FALSE)</f>
        <v>0</v>
      </c>
      <c r="H84" s="9" t="s">
        <v>753</v>
      </c>
      <c r="I84" s="10"/>
      <c r="J84" s="8">
        <f t="shared" si="1"/>
        <v>10000</v>
      </c>
      <c r="K84" s="8">
        <v>5000</v>
      </c>
      <c r="L84" s="9">
        <v>30000</v>
      </c>
      <c r="M84" s="9">
        <f t="shared" si="2"/>
        <v>5000</v>
      </c>
      <c r="N84" s="9"/>
      <c r="O84" s="9"/>
      <c r="P84" s="9"/>
      <c r="Q84" s="9"/>
      <c r="R84" s="9"/>
      <c r="S84" s="9"/>
      <c r="T84" s="9"/>
      <c r="U84" s="13">
        <f t="shared" si="3"/>
        <v>0</v>
      </c>
      <c r="V84" s="13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1:34" ht="30.75" customHeight="1" x14ac:dyDescent="0.2">
      <c r="A85" s="8">
        <f t="shared" si="0"/>
        <v>82</v>
      </c>
      <c r="B85" s="9"/>
      <c r="C85" s="9" t="s">
        <v>120</v>
      </c>
      <c r="D85" s="10" t="str">
        <f>VLOOKUP(C85,Data!$B$2:$G$176,3,FALSE)</f>
        <v>NOUSHAD S</v>
      </c>
      <c r="E85" s="11" t="str">
        <f>VLOOKUP(C85,Data!$B$2:$G$176,4,FALSE)</f>
        <v>Njarayilkonam Thiruvanathapuram9656185571</v>
      </c>
      <c r="F85" s="10" t="str">
        <f>VLOOKUP(C85,Data!$B$2:$G$176,5,FALSE)</f>
        <v>Thiruvanathapuram</v>
      </c>
      <c r="G85" s="9" t="str">
        <f>VLOOKUP(C85,Data!$B$2:$G$176,6,FALSE)</f>
        <v>9656185571</v>
      </c>
      <c r="H85" s="9" t="s">
        <v>754</v>
      </c>
      <c r="I85" s="10"/>
      <c r="J85" s="8">
        <f t="shared" si="1"/>
        <v>10000</v>
      </c>
      <c r="K85" s="8">
        <v>5000</v>
      </c>
      <c r="L85" s="9">
        <v>30000</v>
      </c>
      <c r="M85" s="9">
        <f t="shared" si="2"/>
        <v>5000</v>
      </c>
      <c r="N85" s="9"/>
      <c r="O85" s="9"/>
      <c r="P85" s="9"/>
      <c r="Q85" s="9"/>
      <c r="R85" s="9"/>
      <c r="S85" s="9"/>
      <c r="T85" s="9"/>
      <c r="U85" s="13">
        <f t="shared" si="3"/>
        <v>0</v>
      </c>
      <c r="V85" s="13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1:34" ht="30.75" customHeight="1" x14ac:dyDescent="0.2">
      <c r="A86" s="8">
        <f t="shared" si="0"/>
        <v>83</v>
      </c>
      <c r="B86" s="9"/>
      <c r="C86" s="9" t="s">
        <v>121</v>
      </c>
      <c r="D86" s="10" t="str">
        <f>VLOOKUP(C86,Data!$B$2:$G$176,3,FALSE)</f>
        <v>ABDUL RAHMAN</v>
      </c>
      <c r="E86" s="11" t="str">
        <f>VLOOKUP(C86,Data!$B$2:$G$176,4,FALSE)</f>
        <v>Manjeshwar Kasargode9744474075</v>
      </c>
      <c r="F86" s="10" t="str">
        <f>VLOOKUP(C86,Data!$B$2:$G$176,5,FALSE)</f>
        <v>Kasarkode</v>
      </c>
      <c r="G86" s="9" t="str">
        <f>VLOOKUP(C86,Data!$B$2:$G$176,6,FALSE)</f>
        <v>9744474075</v>
      </c>
      <c r="H86" s="9" t="s">
        <v>752</v>
      </c>
      <c r="I86" s="10"/>
      <c r="J86" s="8">
        <f t="shared" si="1"/>
        <v>44850</v>
      </c>
      <c r="K86" s="8">
        <v>39850</v>
      </c>
      <c r="L86" s="9">
        <v>30000</v>
      </c>
      <c r="M86" s="9">
        <f t="shared" si="2"/>
        <v>5000</v>
      </c>
      <c r="N86" s="9"/>
      <c r="O86" s="9"/>
      <c r="P86" s="9"/>
      <c r="Q86" s="9"/>
      <c r="R86" s="9"/>
      <c r="S86" s="9"/>
      <c r="T86" s="9"/>
      <c r="U86" s="13">
        <f t="shared" si="3"/>
        <v>0</v>
      </c>
      <c r="V86" s="13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1:34" ht="30.75" customHeight="1" x14ac:dyDescent="0.2">
      <c r="A87" s="8">
        <f t="shared" si="0"/>
        <v>84</v>
      </c>
      <c r="B87" s="9"/>
      <c r="C87" s="9" t="s">
        <v>122</v>
      </c>
      <c r="D87" s="10" t="str">
        <f>VLOOKUP(C87,Data!$B$2:$G$176,3,FALSE)</f>
        <v>ABDU GAFOOR</v>
      </c>
      <c r="E87" s="11" t="str">
        <f>VLOOKUP(C87,Data!$B$2:$G$176,4,FALSE)</f>
        <v>Palakkade 9747542190</v>
      </c>
      <c r="F87" s="10" t="str">
        <f>VLOOKUP(C87,Data!$B$2:$G$176,5,FALSE)</f>
        <v>Palakkad</v>
      </c>
      <c r="G87" s="9" t="str">
        <f>VLOOKUP(C87,Data!$B$2:$G$176,6,FALSE)</f>
        <v>9747542190</v>
      </c>
      <c r="H87" s="9" t="s">
        <v>752</v>
      </c>
      <c r="I87" s="10"/>
      <c r="J87" s="8">
        <f t="shared" si="1"/>
        <v>10000</v>
      </c>
      <c r="K87" s="8">
        <v>5000</v>
      </c>
      <c r="L87" s="9">
        <v>30000</v>
      </c>
      <c r="M87" s="9">
        <f t="shared" si="2"/>
        <v>5000</v>
      </c>
      <c r="N87" s="9"/>
      <c r="O87" s="9"/>
      <c r="P87" s="9"/>
      <c r="Q87" s="9"/>
      <c r="R87" s="9"/>
      <c r="S87" s="9"/>
      <c r="T87" s="9"/>
      <c r="U87" s="13">
        <f t="shared" si="3"/>
        <v>0</v>
      </c>
      <c r="V87" s="13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1:34" ht="30.75" customHeight="1" x14ac:dyDescent="0.2">
      <c r="A88" s="8">
        <f t="shared" si="0"/>
        <v>85</v>
      </c>
      <c r="B88" s="9"/>
      <c r="C88" s="9" t="s">
        <v>123</v>
      </c>
      <c r="D88" s="10" t="str">
        <f>VLOOKUP(C88,Data!$B$2:$G$176,3,FALSE)</f>
        <v xml:space="preserve">UKKAS </v>
      </c>
      <c r="E88" s="11" t="str">
        <f>VLOOKUP(C88,Data!$B$2:$G$176,4,FALSE)</f>
        <v>Perambra Kozhikode7558084311</v>
      </c>
      <c r="F88" s="10" t="str">
        <f>VLOOKUP(C88,Data!$B$2:$G$176,5,FALSE)</f>
        <v>Kozhikkode</v>
      </c>
      <c r="G88" s="9" t="str">
        <f>VLOOKUP(C88,Data!$B$2:$G$176,6,FALSE)</f>
        <v>7558084311</v>
      </c>
      <c r="H88" s="9" t="s">
        <v>752</v>
      </c>
      <c r="I88" s="10"/>
      <c r="J88" s="8">
        <f t="shared" si="1"/>
        <v>35000</v>
      </c>
      <c r="K88" s="8">
        <v>30000</v>
      </c>
      <c r="L88" s="9">
        <v>30000</v>
      </c>
      <c r="M88" s="9">
        <f t="shared" si="2"/>
        <v>5000</v>
      </c>
      <c r="N88" s="9"/>
      <c r="O88" s="9"/>
      <c r="P88" s="9"/>
      <c r="Q88" s="9"/>
      <c r="R88" s="9"/>
      <c r="S88" s="9"/>
      <c r="T88" s="9"/>
      <c r="U88" s="13">
        <f t="shared" si="3"/>
        <v>0</v>
      </c>
      <c r="V88" s="13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spans="1:34" ht="30.75" customHeight="1" x14ac:dyDescent="0.2">
      <c r="A89" s="8">
        <f t="shared" si="0"/>
        <v>86</v>
      </c>
      <c r="B89" s="9"/>
      <c r="C89" s="9" t="s">
        <v>124</v>
      </c>
      <c r="D89" s="10" t="str">
        <f>VLOOKUP(C89,Data!$B$2:$G$176,3,FALSE)</f>
        <v>NOUSHAD</v>
      </c>
      <c r="E89" s="11" t="str">
        <f>VLOOKUP(C89,Data!$B$2:$G$176,4,FALSE)</f>
        <v>Ellumannam Wayanad9645071474</v>
      </c>
      <c r="F89" s="10" t="str">
        <f>VLOOKUP(C89,Data!$B$2:$G$176,5,FALSE)</f>
        <v>Wayanad</v>
      </c>
      <c r="G89" s="9" t="str">
        <f>VLOOKUP(C89,Data!$B$2:$G$176,6,FALSE)</f>
        <v>9645071474</v>
      </c>
      <c r="H89" s="9" t="s">
        <v>754</v>
      </c>
      <c r="I89" s="10"/>
      <c r="J89" s="8">
        <f t="shared" si="1"/>
        <v>30000</v>
      </c>
      <c r="K89" s="8">
        <v>25000</v>
      </c>
      <c r="L89" s="9">
        <v>30000</v>
      </c>
      <c r="M89" s="9">
        <f t="shared" si="2"/>
        <v>5000</v>
      </c>
      <c r="N89" s="9"/>
      <c r="O89" s="9"/>
      <c r="P89" s="9"/>
      <c r="Q89" s="9"/>
      <c r="R89" s="9"/>
      <c r="S89" s="9"/>
      <c r="T89" s="9"/>
      <c r="U89" s="13">
        <f t="shared" si="3"/>
        <v>0</v>
      </c>
      <c r="V89" s="13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1:34" ht="30.75" customHeight="1" x14ac:dyDescent="0.2">
      <c r="A90" s="8">
        <f t="shared" si="0"/>
        <v>87</v>
      </c>
      <c r="B90" s="9"/>
      <c r="C90" s="9" t="s">
        <v>125</v>
      </c>
      <c r="D90" s="10" t="str">
        <f>VLOOKUP(C90,Data!$B$2:$G$176,3,FALSE)</f>
        <v>SAHID</v>
      </c>
      <c r="E90" s="11" t="str">
        <f>VLOOKUP(C90,Data!$B$2:$G$176,4,FALSE)</f>
        <v>Cherukattoor Wayanad9995924924</v>
      </c>
      <c r="F90" s="10" t="str">
        <f>VLOOKUP(C90,Data!$B$2:$G$176,5,FALSE)</f>
        <v>Wayanad</v>
      </c>
      <c r="G90" s="9" t="str">
        <f>VLOOKUP(C90,Data!$B$2:$G$176,6,FALSE)</f>
        <v>9995924924</v>
      </c>
      <c r="H90" s="9" t="s">
        <v>755</v>
      </c>
      <c r="I90" s="10"/>
      <c r="J90" s="8">
        <f t="shared" si="1"/>
        <v>5000</v>
      </c>
      <c r="K90" s="8">
        <v>0</v>
      </c>
      <c r="L90" s="9">
        <v>30000</v>
      </c>
      <c r="M90" s="9">
        <f t="shared" si="2"/>
        <v>5000</v>
      </c>
      <c r="N90" s="9"/>
      <c r="O90" s="9"/>
      <c r="P90" s="9"/>
      <c r="Q90" s="9"/>
      <c r="R90" s="9"/>
      <c r="S90" s="9"/>
      <c r="T90" s="9"/>
      <c r="U90" s="13">
        <f t="shared" si="3"/>
        <v>0</v>
      </c>
      <c r="V90" s="13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spans="1:34" ht="30.75" customHeight="1" x14ac:dyDescent="0.2">
      <c r="A91" s="8">
        <f t="shared" si="0"/>
        <v>88</v>
      </c>
      <c r="B91" s="9"/>
      <c r="C91" s="9" t="s">
        <v>126</v>
      </c>
      <c r="D91" s="10" t="str">
        <f>VLOOKUP(C91,Data!$B$2:$G$176,3,FALSE)</f>
        <v>MUHAMMED NAVAS S</v>
      </c>
      <c r="E91" s="11" t="str">
        <f>VLOOKUP(C91,Data!$B$2:$G$176,4,FALSE)</f>
        <v>Pangodu Thiruvanathapuram9562410869</v>
      </c>
      <c r="F91" s="10" t="str">
        <f>VLOOKUP(C91,Data!$B$2:$G$176,5,FALSE)</f>
        <v>Thiruvanathapuram</v>
      </c>
      <c r="G91" s="9" t="str">
        <f>VLOOKUP(C91,Data!$B$2:$G$176,6,FALSE)</f>
        <v>9562410869</v>
      </c>
      <c r="H91" s="9" t="s">
        <v>752</v>
      </c>
      <c r="I91" s="10"/>
      <c r="J91" s="8">
        <f t="shared" si="1"/>
        <v>36500</v>
      </c>
      <c r="K91" s="8">
        <v>31500</v>
      </c>
      <c r="L91" s="9">
        <v>30000</v>
      </c>
      <c r="M91" s="9">
        <f t="shared" si="2"/>
        <v>5000</v>
      </c>
      <c r="N91" s="9"/>
      <c r="O91" s="9"/>
      <c r="P91" s="9"/>
      <c r="Q91" s="9"/>
      <c r="R91" s="9"/>
      <c r="S91" s="9"/>
      <c r="T91" s="9"/>
      <c r="U91" s="13">
        <f t="shared" si="3"/>
        <v>0</v>
      </c>
      <c r="V91" s="13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1:34" ht="30.75" customHeight="1" x14ac:dyDescent="0.2">
      <c r="A92" s="8">
        <f t="shared" si="0"/>
        <v>89</v>
      </c>
      <c r="B92" s="9"/>
      <c r="C92" s="9" t="s">
        <v>127</v>
      </c>
      <c r="D92" s="10" t="str">
        <f>VLOOKUP(C92,Data!$B$2:$G$176,3,FALSE)</f>
        <v>AMJED KHAN</v>
      </c>
      <c r="E92" s="11" t="str">
        <f>VLOOKUP(C92,Data!$B$2:$G$176,4,FALSE)</f>
        <v>Cheruthuruthy Thrissur8113023002</v>
      </c>
      <c r="F92" s="10" t="str">
        <f>VLOOKUP(C92,Data!$B$2:$G$176,5,FALSE)</f>
        <v>Thrissur</v>
      </c>
      <c r="G92" s="9" t="str">
        <f>VLOOKUP(C92,Data!$B$2:$G$176,6,FALSE)</f>
        <v>8113023002</v>
      </c>
      <c r="H92" s="9" t="s">
        <v>118</v>
      </c>
      <c r="I92" s="10"/>
      <c r="J92" s="8">
        <f t="shared" si="1"/>
        <v>5000</v>
      </c>
      <c r="K92" s="8">
        <v>0</v>
      </c>
      <c r="L92" s="9">
        <v>30000</v>
      </c>
      <c r="M92" s="9">
        <f t="shared" si="2"/>
        <v>5000</v>
      </c>
      <c r="N92" s="9"/>
      <c r="O92" s="9"/>
      <c r="P92" s="9"/>
      <c r="Q92" s="9"/>
      <c r="R92" s="9"/>
      <c r="S92" s="9"/>
      <c r="T92" s="9"/>
      <c r="U92" s="13">
        <f t="shared" si="3"/>
        <v>0</v>
      </c>
      <c r="V92" s="13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spans="1:34" ht="30.75" customHeight="1" x14ac:dyDescent="0.2">
      <c r="A93" s="8">
        <f t="shared" si="0"/>
        <v>90</v>
      </c>
      <c r="B93" s="9"/>
      <c r="C93" s="9" t="s">
        <v>128</v>
      </c>
      <c r="D93" s="10" t="str">
        <f>VLOOKUP(C93,Data!$B$2:$G$176,3,FALSE)</f>
        <v>ABDUL JALEEL</v>
      </c>
      <c r="E93" s="11" t="str">
        <f>VLOOKUP(C93,Data!$B$2:$G$176,4,FALSE)</f>
        <v>Edavaka Wayanad9072127080</v>
      </c>
      <c r="F93" s="10" t="str">
        <f>VLOOKUP(C93,Data!$B$2:$G$176,5,FALSE)</f>
        <v>Wayanad</v>
      </c>
      <c r="G93" s="9" t="str">
        <f>VLOOKUP(C93,Data!$B$2:$G$176,6,FALSE)</f>
        <v>9072127080</v>
      </c>
      <c r="H93" s="9" t="s">
        <v>754</v>
      </c>
      <c r="I93" s="10"/>
      <c r="J93" s="8">
        <f t="shared" si="1"/>
        <v>44000</v>
      </c>
      <c r="K93" s="8">
        <v>42000</v>
      </c>
      <c r="L93" s="9">
        <v>12000</v>
      </c>
      <c r="M93" s="9">
        <f t="shared" si="2"/>
        <v>2000</v>
      </c>
      <c r="N93" s="9"/>
      <c r="O93" s="9"/>
      <c r="P93" s="9"/>
      <c r="Q93" s="9"/>
      <c r="R93" s="9"/>
      <c r="S93" s="9"/>
      <c r="T93" s="9"/>
      <c r="U93" s="13">
        <f t="shared" si="3"/>
        <v>0</v>
      </c>
      <c r="V93" s="13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spans="1:34" ht="30.75" customHeight="1" x14ac:dyDescent="0.2">
      <c r="A94" s="8">
        <f t="shared" si="0"/>
        <v>91</v>
      </c>
      <c r="B94" s="9"/>
      <c r="C94" s="9" t="s">
        <v>129</v>
      </c>
      <c r="D94" s="10" t="str">
        <f>VLOOKUP(C94,Data!$B$2:$G$176,3,FALSE)</f>
        <v>SHARAFUDHEEN K</v>
      </c>
      <c r="E94" s="11" t="str">
        <f>VLOOKUP(C94,Data!$B$2:$G$176,4,FALSE)</f>
        <v>Anju Kunnu Wayanad8086063002</v>
      </c>
      <c r="F94" s="10" t="str">
        <f>VLOOKUP(C94,Data!$B$2:$G$176,5,FALSE)</f>
        <v>Wayanad</v>
      </c>
      <c r="G94" s="9" t="str">
        <f>VLOOKUP(C94,Data!$B$2:$G$176,6,FALSE)</f>
        <v>8086063002</v>
      </c>
      <c r="H94" s="9" t="s">
        <v>752</v>
      </c>
      <c r="I94" s="10"/>
      <c r="J94" s="8">
        <f t="shared" si="1"/>
        <v>25000</v>
      </c>
      <c r="K94" s="8">
        <v>20000</v>
      </c>
      <c r="L94" s="9">
        <v>30000</v>
      </c>
      <c r="M94" s="9">
        <f t="shared" si="2"/>
        <v>5000</v>
      </c>
      <c r="N94" s="9"/>
      <c r="O94" s="9"/>
      <c r="P94" s="9"/>
      <c r="Q94" s="9"/>
      <c r="R94" s="9"/>
      <c r="S94" s="9"/>
      <c r="T94" s="9"/>
      <c r="U94" s="13">
        <f t="shared" si="3"/>
        <v>0</v>
      </c>
      <c r="V94" s="13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spans="1:34" ht="30.75" customHeight="1" x14ac:dyDescent="0.2">
      <c r="A95" s="8" t="s">
        <v>130</v>
      </c>
      <c r="B95" s="9"/>
      <c r="C95" s="9" t="s">
        <v>131</v>
      </c>
      <c r="D95" s="10" t="str">
        <f>VLOOKUP(C95,Data!$B$2:$G$176,3,FALSE)</f>
        <v>ABOOBAKER</v>
      </c>
      <c r="E95" s="11" t="str">
        <f>VLOOKUP(C95,Data!$B$2:$G$176,4,FALSE)</f>
        <v>Shukhapuram Malappuram9645268067</v>
      </c>
      <c r="F95" s="10" t="str">
        <f>VLOOKUP(C95,Data!$B$2:$G$176,5,FALSE)</f>
        <v>Malappuram</v>
      </c>
      <c r="G95" s="9" t="str">
        <f>VLOOKUP(C95,Data!$B$2:$G$176,6,FALSE)</f>
        <v>9645268067</v>
      </c>
      <c r="H95" s="9" t="s">
        <v>754</v>
      </c>
      <c r="I95" s="10"/>
      <c r="J95" s="8">
        <f t="shared" si="1"/>
        <v>15000</v>
      </c>
      <c r="K95" s="8">
        <v>10000</v>
      </c>
      <c r="L95" s="9">
        <v>30000</v>
      </c>
      <c r="M95" s="9">
        <f t="shared" si="2"/>
        <v>5000</v>
      </c>
      <c r="N95" s="9"/>
      <c r="O95" s="9"/>
      <c r="P95" s="9"/>
      <c r="Q95" s="9"/>
      <c r="R95" s="9"/>
      <c r="S95" s="9"/>
      <c r="T95" s="9"/>
      <c r="U95" s="13">
        <f t="shared" si="3"/>
        <v>0</v>
      </c>
      <c r="V95" s="13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spans="1:34" ht="30.75" customHeight="1" x14ac:dyDescent="0.2">
      <c r="A96" s="8">
        <f t="shared" ref="A96:A186" si="4">ROW()-3</f>
        <v>93</v>
      </c>
      <c r="B96" s="9"/>
      <c r="C96" s="9" t="s">
        <v>132</v>
      </c>
      <c r="D96" s="10" t="str">
        <f>VLOOKUP(C96,Data!$B$2:$G$176,3,FALSE)</f>
        <v>ABDUL GAFOOR N</v>
      </c>
      <c r="E96" s="11" t="str">
        <f>VLOOKUP(C96,Data!$B$2:$G$176,4,FALSE)</f>
        <v>Malappuram 6933160027</v>
      </c>
      <c r="F96" s="10" t="str">
        <f>VLOOKUP(C96,Data!$B$2:$G$176,5,FALSE)</f>
        <v>Malappuram</v>
      </c>
      <c r="G96" s="9" t="str">
        <f>VLOOKUP(C96,Data!$B$2:$G$176,6,FALSE)</f>
        <v>6933160027</v>
      </c>
      <c r="H96" s="9" t="s">
        <v>754</v>
      </c>
      <c r="I96" s="10"/>
      <c r="J96" s="8">
        <f t="shared" si="1"/>
        <v>5000</v>
      </c>
      <c r="K96" s="8">
        <v>0</v>
      </c>
      <c r="L96" s="9">
        <v>30000</v>
      </c>
      <c r="M96" s="9">
        <f t="shared" si="2"/>
        <v>5000</v>
      </c>
      <c r="N96" s="9"/>
      <c r="O96" s="9"/>
      <c r="P96" s="9"/>
      <c r="Q96" s="9"/>
      <c r="R96" s="9"/>
      <c r="S96" s="9"/>
      <c r="T96" s="9"/>
      <c r="U96" s="13">
        <f t="shared" si="3"/>
        <v>0</v>
      </c>
      <c r="V96" s="13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spans="1:34" ht="30.75" customHeight="1" x14ac:dyDescent="0.2">
      <c r="A97" s="8">
        <f t="shared" si="4"/>
        <v>94</v>
      </c>
      <c r="B97" s="9"/>
      <c r="C97" s="9" t="s">
        <v>133</v>
      </c>
      <c r="D97" s="10" t="str">
        <f>VLOOKUP(C97,Data!$B$2:$G$176,3,FALSE)</f>
        <v>LATHEEF</v>
      </c>
      <c r="E97" s="11" t="str">
        <f>VLOOKUP(C97,Data!$B$2:$G$176,4,FALSE)</f>
        <v>Kannur 8921111512</v>
      </c>
      <c r="F97" s="10" t="str">
        <f>VLOOKUP(C97,Data!$B$2:$G$176,5,FALSE)</f>
        <v>Kannur</v>
      </c>
      <c r="G97" s="9" t="str">
        <f>VLOOKUP(C97,Data!$B$2:$G$176,6,FALSE)</f>
        <v>8921111512</v>
      </c>
      <c r="H97" s="9" t="s">
        <v>752</v>
      </c>
      <c r="I97" s="10"/>
      <c r="J97" s="8">
        <f t="shared" si="1"/>
        <v>106000</v>
      </c>
      <c r="K97" s="8">
        <v>101000</v>
      </c>
      <c r="L97" s="9">
        <v>30000</v>
      </c>
      <c r="M97" s="9">
        <f t="shared" si="2"/>
        <v>5000</v>
      </c>
      <c r="N97" s="9"/>
      <c r="O97" s="9"/>
      <c r="P97" s="9"/>
      <c r="Q97" s="9"/>
      <c r="R97" s="9"/>
      <c r="S97" s="9"/>
      <c r="T97" s="9"/>
      <c r="U97" s="13">
        <f t="shared" si="3"/>
        <v>0</v>
      </c>
      <c r="V97" s="13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ht="30.75" customHeight="1" x14ac:dyDescent="0.2">
      <c r="A98" s="8">
        <f t="shared" si="4"/>
        <v>95</v>
      </c>
      <c r="B98" s="9"/>
      <c r="C98" s="9" t="s">
        <v>134</v>
      </c>
      <c r="D98" s="10" t="str">
        <f>VLOOKUP(C98,Data!$B$2:$G$176,3,FALSE)</f>
        <v>SIKANDER</v>
      </c>
      <c r="E98" s="11">
        <f>VLOOKUP(C98,Data!$B$2:$G$176,4,FALSE)</f>
        <v>0</v>
      </c>
      <c r="F98" s="10" t="str">
        <f>VLOOKUP(C98,Data!$B$2:$G$176,5,FALSE)</f>
        <v>Coimbathur</v>
      </c>
      <c r="G98" s="9" t="str">
        <f>VLOOKUP(C98,Data!$B$2:$G$176,6,FALSE)</f>
        <v>6382623643</v>
      </c>
      <c r="H98" s="9" t="s">
        <v>754</v>
      </c>
      <c r="I98" s="10"/>
      <c r="J98" s="8">
        <f t="shared" si="1"/>
        <v>55000</v>
      </c>
      <c r="K98" s="8">
        <v>50000</v>
      </c>
      <c r="L98" s="9">
        <v>30000</v>
      </c>
      <c r="M98" s="9">
        <f t="shared" si="2"/>
        <v>5000</v>
      </c>
      <c r="N98" s="9"/>
      <c r="O98" s="9"/>
      <c r="P98" s="9"/>
      <c r="Q98" s="9"/>
      <c r="R98" s="9"/>
      <c r="S98" s="9"/>
      <c r="T98" s="9"/>
      <c r="U98" s="13">
        <f t="shared" si="3"/>
        <v>0</v>
      </c>
      <c r="V98" s="13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spans="1:34" ht="30.75" customHeight="1" x14ac:dyDescent="0.2">
      <c r="A99" s="8">
        <f t="shared" si="4"/>
        <v>96</v>
      </c>
      <c r="B99" s="9"/>
      <c r="C99" s="9" t="s">
        <v>135</v>
      </c>
      <c r="D99" s="10" t="str">
        <f>VLOOKUP(C99,Data!$B$2:$G$176,3,FALSE)</f>
        <v>HANEEFA M</v>
      </c>
      <c r="E99" s="11" t="str">
        <f>VLOOKUP(C99,Data!$B$2:$G$176,4,FALSE)</f>
        <v>Mattanur Kannur</v>
      </c>
      <c r="F99" s="10" t="str">
        <f>VLOOKUP(C99,Data!$B$2:$G$176,5,FALSE)</f>
        <v>Kannur</v>
      </c>
      <c r="G99" s="9">
        <f>VLOOKUP(C99,Data!$B$2:$G$176,6,FALSE)</f>
        <v>0</v>
      </c>
      <c r="H99" s="9" t="s">
        <v>754</v>
      </c>
      <c r="I99" s="10"/>
      <c r="J99" s="8">
        <f t="shared" si="1"/>
        <v>95000</v>
      </c>
      <c r="K99" s="8">
        <v>90000</v>
      </c>
      <c r="L99" s="9">
        <v>30000</v>
      </c>
      <c r="M99" s="9">
        <f t="shared" si="2"/>
        <v>5000</v>
      </c>
      <c r="N99" s="9"/>
      <c r="O99" s="9"/>
      <c r="P99" s="9"/>
      <c r="Q99" s="9"/>
      <c r="R99" s="9"/>
      <c r="S99" s="9"/>
      <c r="T99" s="9"/>
      <c r="U99" s="13">
        <f t="shared" si="3"/>
        <v>0</v>
      </c>
      <c r="V99" s="13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ht="30.75" customHeight="1" x14ac:dyDescent="0.2">
      <c r="A100" s="8">
        <f t="shared" si="4"/>
        <v>97</v>
      </c>
      <c r="B100" s="9"/>
      <c r="C100" s="9" t="s">
        <v>136</v>
      </c>
      <c r="D100" s="10" t="str">
        <f>VLOOKUP(C100,Data!$B$2:$G$176,3,FALSE)</f>
        <v>NIZZAR PH</v>
      </c>
      <c r="E100" s="11" t="str">
        <f>VLOOKUP(C100,Data!$B$2:$G$176,4,FALSE)</f>
        <v>Erumely 8078866268</v>
      </c>
      <c r="F100" s="10" t="str">
        <f>VLOOKUP(C100,Data!$B$2:$G$176,5,FALSE)</f>
        <v>Kottayam</v>
      </c>
      <c r="G100" s="9" t="str">
        <f>VLOOKUP(C100,Data!$B$2:$G$176,6,FALSE)</f>
        <v>8078866268</v>
      </c>
      <c r="H100" s="9" t="s">
        <v>137</v>
      </c>
      <c r="I100" s="10"/>
      <c r="J100" s="8">
        <f t="shared" si="1"/>
        <v>1500</v>
      </c>
      <c r="K100" s="8">
        <v>0</v>
      </c>
      <c r="L100" s="9">
        <v>9000</v>
      </c>
      <c r="M100" s="9">
        <f t="shared" si="2"/>
        <v>1500</v>
      </c>
      <c r="N100" s="9"/>
      <c r="O100" s="9"/>
      <c r="P100" s="9"/>
      <c r="Q100" s="9"/>
      <c r="R100" s="9"/>
      <c r="S100" s="9"/>
      <c r="T100" s="9"/>
      <c r="U100" s="13">
        <f t="shared" si="3"/>
        <v>0</v>
      </c>
      <c r="V100" s="13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spans="1:34" ht="30.75" customHeight="1" x14ac:dyDescent="0.2">
      <c r="A101" s="8">
        <f t="shared" si="4"/>
        <v>98</v>
      </c>
      <c r="B101" s="9"/>
      <c r="C101" s="9" t="s">
        <v>138</v>
      </c>
      <c r="D101" s="10" t="str">
        <f>VLOOKUP(C101,Data!$B$2:$G$176,3,FALSE)</f>
        <v>RAHEEM MP</v>
      </c>
      <c r="E101" s="11" t="str">
        <f>VLOOKUP(C101,Data!$B$2:$G$176,4,FALSE)</f>
        <v>Panamaram8281276160</v>
      </c>
      <c r="F101" s="10" t="str">
        <f>VLOOKUP(C101,Data!$B$2:$G$176,5,FALSE)</f>
        <v>Wayanad</v>
      </c>
      <c r="G101" s="9" t="str">
        <f>VLOOKUP(C101,Data!$B$2:$G$176,6,FALSE)</f>
        <v>8281276160</v>
      </c>
      <c r="H101" s="9" t="s">
        <v>139</v>
      </c>
      <c r="I101" s="10"/>
      <c r="J101" s="8">
        <f t="shared" si="1"/>
        <v>10500</v>
      </c>
      <c r="K101" s="8">
        <v>9000</v>
      </c>
      <c r="L101" s="9">
        <v>9000</v>
      </c>
      <c r="M101" s="9">
        <f t="shared" si="2"/>
        <v>1500</v>
      </c>
      <c r="N101" s="9"/>
      <c r="O101" s="9"/>
      <c r="P101" s="9"/>
      <c r="Q101" s="9"/>
      <c r="R101" s="9"/>
      <c r="S101" s="9"/>
      <c r="T101" s="9"/>
      <c r="U101" s="13">
        <f t="shared" si="3"/>
        <v>0</v>
      </c>
      <c r="V101" s="13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spans="1:34" ht="30.75" customHeight="1" x14ac:dyDescent="0.2">
      <c r="A102" s="8">
        <f t="shared" si="4"/>
        <v>99</v>
      </c>
      <c r="B102" s="9"/>
      <c r="C102" s="9" t="s">
        <v>140</v>
      </c>
      <c r="D102" s="10">
        <f>VLOOKUP(C102,Data!$B$2:$G$176,3,FALSE)</f>
        <v>0</v>
      </c>
      <c r="E102" s="11" t="str">
        <f>VLOOKUP(C102,Data!$B$2:$G$176,4,FALSE)</f>
        <v/>
      </c>
      <c r="F102" s="10" t="str">
        <f>VLOOKUP(C102,Data!$B$2:$G$176,5,FALSE)</f>
        <v>Wayanad</v>
      </c>
      <c r="G102" s="9" t="str">
        <f>VLOOKUP(C102,Data!$B$2:$G$176,6,FALSE)</f>
        <v/>
      </c>
      <c r="H102" s="9" t="s">
        <v>141</v>
      </c>
      <c r="I102" s="10"/>
      <c r="J102" s="8">
        <f t="shared" si="1"/>
        <v>12000</v>
      </c>
      <c r="K102" s="8">
        <v>8000</v>
      </c>
      <c r="L102" s="9">
        <v>24000</v>
      </c>
      <c r="M102" s="9">
        <f t="shared" si="2"/>
        <v>4000</v>
      </c>
      <c r="N102" s="9"/>
      <c r="O102" s="9"/>
      <c r="P102" s="9"/>
      <c r="Q102" s="9"/>
      <c r="R102" s="9"/>
      <c r="S102" s="9"/>
      <c r="T102" s="9"/>
      <c r="U102" s="13">
        <f t="shared" si="3"/>
        <v>0</v>
      </c>
      <c r="V102" s="13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spans="1:34" ht="30.75" customHeight="1" x14ac:dyDescent="0.2">
      <c r="A103" s="8">
        <f t="shared" si="4"/>
        <v>100</v>
      </c>
      <c r="B103" s="9"/>
      <c r="C103" s="9" t="s">
        <v>142</v>
      </c>
      <c r="D103" s="10" t="str">
        <f>VLOOKUP(C103,Data!$B$2:$G$176,3,FALSE)</f>
        <v>JAIFER</v>
      </c>
      <c r="E103" s="11" t="str">
        <f>VLOOKUP(C103,Data!$B$2:$G$176,4,FALSE)</f>
        <v>Rippon7558861406</v>
      </c>
      <c r="F103" s="10" t="str">
        <f>VLOOKUP(C103,Data!$B$2:$G$176,5,FALSE)</f>
        <v>Wayanad</v>
      </c>
      <c r="G103" s="9" t="str">
        <f>VLOOKUP(C103,Data!$B$2:$G$176,6,FALSE)</f>
        <v>7558861406</v>
      </c>
      <c r="H103" s="9" t="s">
        <v>143</v>
      </c>
      <c r="I103" s="10"/>
      <c r="J103" s="8">
        <f t="shared" si="1"/>
        <v>8000</v>
      </c>
      <c r="K103" s="8">
        <v>4000</v>
      </c>
      <c r="L103" s="9">
        <v>24000</v>
      </c>
      <c r="M103" s="9">
        <f t="shared" si="2"/>
        <v>4000</v>
      </c>
      <c r="N103" s="9"/>
      <c r="O103" s="9"/>
      <c r="P103" s="9"/>
      <c r="Q103" s="9"/>
      <c r="R103" s="9"/>
      <c r="S103" s="9"/>
      <c r="T103" s="9"/>
      <c r="U103" s="13">
        <f t="shared" si="3"/>
        <v>0</v>
      </c>
      <c r="V103" s="13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spans="1:34" ht="30.75" customHeight="1" x14ac:dyDescent="0.2">
      <c r="A104" s="8">
        <f t="shared" si="4"/>
        <v>101</v>
      </c>
      <c r="B104" s="9"/>
      <c r="C104" s="9" t="s">
        <v>144</v>
      </c>
      <c r="D104" s="10" t="str">
        <f>VLOOKUP(C104,Data!$B$2:$G$176,3,FALSE)</f>
        <v>ISMAIL</v>
      </c>
      <c r="E104" s="11" t="str">
        <f>VLOOKUP(C104,Data!$B$2:$G$176,4,FALSE)</f>
        <v>Kodiyra8943898320</v>
      </c>
      <c r="F104" s="10" t="str">
        <f>VLOOKUP(C104,Data!$B$2:$G$176,5,FALSE)</f>
        <v>Kozhikode</v>
      </c>
      <c r="G104" s="9" t="str">
        <f>VLOOKUP(C104,Data!$B$2:$G$176,6,FALSE)</f>
        <v>8943898320</v>
      </c>
      <c r="H104" s="9" t="s">
        <v>145</v>
      </c>
      <c r="I104" s="10"/>
      <c r="J104" s="8">
        <f t="shared" si="1"/>
        <v>12000</v>
      </c>
      <c r="K104" s="8">
        <v>8000</v>
      </c>
      <c r="L104" s="9">
        <v>24000</v>
      </c>
      <c r="M104" s="9">
        <f t="shared" si="2"/>
        <v>4000</v>
      </c>
      <c r="N104" s="9"/>
      <c r="O104" s="9"/>
      <c r="P104" s="9"/>
      <c r="Q104" s="9"/>
      <c r="R104" s="9"/>
      <c r="S104" s="9"/>
      <c r="T104" s="9"/>
      <c r="U104" s="13">
        <f t="shared" si="3"/>
        <v>0</v>
      </c>
      <c r="V104" s="13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ht="30.75" customHeight="1" x14ac:dyDescent="0.2">
      <c r="A105" s="8">
        <f t="shared" si="4"/>
        <v>102</v>
      </c>
      <c r="B105" s="9"/>
      <c r="C105" s="9" t="s">
        <v>146</v>
      </c>
      <c r="D105" s="10" t="str">
        <f>VLOOKUP(C105,Data!$B$2:$G$176,3,FALSE)</f>
        <v>ADBUL HAKKEM</v>
      </c>
      <c r="E105" s="11" t="str">
        <f>VLOOKUP(C105,Data!$B$2:$G$176,4,FALSE)</f>
        <v>Nudumangad Thiruvanathapuram9400767278</v>
      </c>
      <c r="F105" s="10" t="str">
        <f>VLOOKUP(C105,Data!$B$2:$G$176,5,FALSE)</f>
        <v>Thiruvanathapuram</v>
      </c>
      <c r="G105" s="9" t="str">
        <f>VLOOKUP(C105,Data!$B$2:$G$176,6,FALSE)</f>
        <v>9400767278</v>
      </c>
      <c r="H105" s="9" t="s">
        <v>147</v>
      </c>
      <c r="I105" s="10"/>
      <c r="J105" s="8">
        <f t="shared" si="1"/>
        <v>8000</v>
      </c>
      <c r="K105" s="8">
        <v>4000</v>
      </c>
      <c r="L105" s="9">
        <v>24000</v>
      </c>
      <c r="M105" s="9">
        <f t="shared" si="2"/>
        <v>4000</v>
      </c>
      <c r="N105" s="9"/>
      <c r="O105" s="9"/>
      <c r="P105" s="9"/>
      <c r="Q105" s="9"/>
      <c r="R105" s="9"/>
      <c r="S105" s="9"/>
      <c r="T105" s="9"/>
      <c r="U105" s="13">
        <f t="shared" si="3"/>
        <v>0</v>
      </c>
      <c r="V105" s="13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ht="30.75" customHeight="1" x14ac:dyDescent="0.2">
      <c r="A106" s="8">
        <f t="shared" si="4"/>
        <v>103</v>
      </c>
      <c r="B106" s="9"/>
      <c r="C106" s="9" t="s">
        <v>148</v>
      </c>
      <c r="D106" s="10" t="str">
        <f>VLOOKUP(C106,Data!$B$2:$G$176,3,FALSE)</f>
        <v>NISSAR AHMMED</v>
      </c>
      <c r="E106" s="11" t="str">
        <f>VLOOKUP(C106,Data!$B$2:$G$176,4,FALSE)</f>
        <v>Mannam9961132274</v>
      </c>
      <c r="F106" s="10" t="str">
        <f>VLOOKUP(C106,Data!$B$2:$G$176,5,FALSE)</f>
        <v>Ernakulam</v>
      </c>
      <c r="G106" s="9" t="str">
        <f>VLOOKUP(C106,Data!$B$2:$G$176,6,FALSE)</f>
        <v>9961132274</v>
      </c>
      <c r="H106" s="9" t="s">
        <v>149</v>
      </c>
      <c r="I106" s="10"/>
      <c r="J106" s="8">
        <f t="shared" si="1"/>
        <v>8000</v>
      </c>
      <c r="K106" s="8">
        <v>4000</v>
      </c>
      <c r="L106" s="9">
        <v>24000</v>
      </c>
      <c r="M106" s="9">
        <f t="shared" si="2"/>
        <v>4000</v>
      </c>
      <c r="N106" s="9"/>
      <c r="O106" s="9"/>
      <c r="P106" s="9"/>
      <c r="Q106" s="9"/>
      <c r="R106" s="9"/>
      <c r="S106" s="9"/>
      <c r="T106" s="9"/>
      <c r="U106" s="13">
        <f t="shared" si="3"/>
        <v>0</v>
      </c>
      <c r="V106" s="13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spans="1:34" ht="30.75" customHeight="1" x14ac:dyDescent="0.2">
      <c r="A107" s="8">
        <f t="shared" si="4"/>
        <v>104</v>
      </c>
      <c r="B107" s="9"/>
      <c r="C107" s="9" t="s">
        <v>150</v>
      </c>
      <c r="D107" s="10">
        <f>VLOOKUP(C107,Data!$B$2:$G$176,3,FALSE)</f>
        <v>0</v>
      </c>
      <c r="E107" s="11" t="str">
        <f>VLOOKUP(C107,Data!$B$2:$G$176,4,FALSE)</f>
        <v/>
      </c>
      <c r="F107" s="10">
        <f>VLOOKUP(C107,Data!$B$2:$G$176,5,FALSE)</f>
        <v>0</v>
      </c>
      <c r="G107" s="9" t="str">
        <f>VLOOKUP(C107,Data!$B$2:$G$176,6,FALSE)</f>
        <v/>
      </c>
      <c r="H107" s="9" t="s">
        <v>151</v>
      </c>
      <c r="I107" s="10"/>
      <c r="J107" s="8">
        <f t="shared" si="1"/>
        <v>8000</v>
      </c>
      <c r="K107" s="8">
        <v>4000</v>
      </c>
      <c r="L107" s="9">
        <v>24000</v>
      </c>
      <c r="M107" s="9">
        <f t="shared" si="2"/>
        <v>4000</v>
      </c>
      <c r="N107" s="9"/>
      <c r="O107" s="9"/>
      <c r="P107" s="9"/>
      <c r="Q107" s="9"/>
      <c r="R107" s="9"/>
      <c r="S107" s="9"/>
      <c r="T107" s="9"/>
      <c r="U107" s="13">
        <f t="shared" si="3"/>
        <v>0</v>
      </c>
      <c r="V107" s="13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 ht="30.75" customHeight="1" x14ac:dyDescent="0.2">
      <c r="A108" s="8">
        <f t="shared" si="4"/>
        <v>105</v>
      </c>
      <c r="B108" s="9"/>
      <c r="C108" s="9" t="s">
        <v>152</v>
      </c>
      <c r="D108" s="10" t="str">
        <f>VLOOKUP(C108,Data!$B$2:$G$176,3,FALSE)</f>
        <v>NASIR KHALID</v>
      </c>
      <c r="E108" s="11" t="str">
        <f>VLOOKUP(C108,Data!$B$2:$G$176,4,FALSE)</f>
        <v>Kadameri9778184658</v>
      </c>
      <c r="F108" s="10" t="str">
        <f>VLOOKUP(C108,Data!$B$2:$G$176,5,FALSE)</f>
        <v>Kozhikode</v>
      </c>
      <c r="G108" s="9" t="str">
        <f>VLOOKUP(C108,Data!$B$2:$G$176,6,FALSE)</f>
        <v>9778184658</v>
      </c>
      <c r="H108" s="9" t="s">
        <v>153</v>
      </c>
      <c r="I108" s="10"/>
      <c r="J108" s="8">
        <f t="shared" si="1"/>
        <v>20000</v>
      </c>
      <c r="K108" s="8">
        <v>16000</v>
      </c>
      <c r="L108" s="9">
        <v>24000</v>
      </c>
      <c r="M108" s="9">
        <f t="shared" si="2"/>
        <v>4000</v>
      </c>
      <c r="N108" s="9"/>
      <c r="O108" s="9"/>
      <c r="P108" s="9"/>
      <c r="Q108" s="9"/>
      <c r="R108" s="9"/>
      <c r="S108" s="9"/>
      <c r="T108" s="9"/>
      <c r="U108" s="13">
        <f t="shared" si="3"/>
        <v>0</v>
      </c>
      <c r="V108" s="13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spans="1:34" ht="30.75" customHeight="1" x14ac:dyDescent="0.2">
      <c r="A109" s="8">
        <f t="shared" si="4"/>
        <v>106</v>
      </c>
      <c r="B109" s="9"/>
      <c r="C109" s="9" t="s">
        <v>154</v>
      </c>
      <c r="D109" s="10" t="str">
        <f>VLOOKUP(C109,Data!$B$2:$G$176,3,FALSE)</f>
        <v>UNNIMOHAMMED</v>
      </c>
      <c r="E109" s="11" t="str">
        <f>VLOOKUP(C109,Data!$B$2:$G$176,4,FALSE)</f>
        <v>Payyanad9447106051</v>
      </c>
      <c r="F109" s="10" t="str">
        <f>VLOOKUP(C109,Data!$B$2:$G$176,5,FALSE)</f>
        <v>Malappuram</v>
      </c>
      <c r="G109" s="9" t="str">
        <f>VLOOKUP(C109,Data!$B$2:$G$176,6,FALSE)</f>
        <v>9447106051</v>
      </c>
      <c r="H109" s="9" t="s">
        <v>155</v>
      </c>
      <c r="I109" s="10"/>
      <c r="J109" s="8">
        <f t="shared" si="1"/>
        <v>8000</v>
      </c>
      <c r="K109" s="8">
        <v>4000</v>
      </c>
      <c r="L109" s="9">
        <v>24000</v>
      </c>
      <c r="M109" s="9">
        <f t="shared" si="2"/>
        <v>4000</v>
      </c>
      <c r="N109" s="9"/>
      <c r="O109" s="9"/>
      <c r="P109" s="9"/>
      <c r="Q109" s="9"/>
      <c r="R109" s="9"/>
      <c r="S109" s="9"/>
      <c r="T109" s="9"/>
      <c r="U109" s="13">
        <f t="shared" si="3"/>
        <v>0</v>
      </c>
      <c r="V109" s="13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spans="1:34" ht="30.75" customHeight="1" x14ac:dyDescent="0.2">
      <c r="A110" s="8">
        <f t="shared" si="4"/>
        <v>107</v>
      </c>
      <c r="B110" s="9"/>
      <c r="C110" s="9" t="s">
        <v>156</v>
      </c>
      <c r="D110" s="10" t="str">
        <f>VLOOKUP(C110,Data!$B$2:$G$176,3,FALSE)</f>
        <v>ABDUL KAREEM</v>
      </c>
      <c r="E110" s="11" t="str">
        <f>VLOOKUP(C110,Data!$B$2:$G$176,4,FALSE)</f>
        <v>Vengara9562176790</v>
      </c>
      <c r="F110" s="10" t="str">
        <f>VLOOKUP(C110,Data!$B$2:$G$176,5,FALSE)</f>
        <v>Malappuram</v>
      </c>
      <c r="G110" s="9" t="str">
        <f>VLOOKUP(C110,Data!$B$2:$G$176,6,FALSE)</f>
        <v>9562176790</v>
      </c>
      <c r="H110" s="9" t="s">
        <v>157</v>
      </c>
      <c r="I110" s="10"/>
      <c r="J110" s="8">
        <f t="shared" si="1"/>
        <v>20000</v>
      </c>
      <c r="K110" s="8">
        <v>16000</v>
      </c>
      <c r="L110" s="9">
        <v>24000</v>
      </c>
      <c r="M110" s="9">
        <f t="shared" si="2"/>
        <v>4000</v>
      </c>
      <c r="N110" s="9"/>
      <c r="O110" s="9"/>
      <c r="P110" s="9"/>
      <c r="Q110" s="9"/>
      <c r="R110" s="9"/>
      <c r="S110" s="9"/>
      <c r="T110" s="9"/>
      <c r="U110" s="13">
        <f t="shared" si="3"/>
        <v>0</v>
      </c>
      <c r="V110" s="13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 spans="1:34" ht="30.75" customHeight="1" x14ac:dyDescent="0.2">
      <c r="A111" s="8">
        <f t="shared" si="4"/>
        <v>108</v>
      </c>
      <c r="B111" s="9"/>
      <c r="C111" s="9" t="s">
        <v>158</v>
      </c>
      <c r="D111" s="10" t="str">
        <f>VLOOKUP(C111,Data!$B$2:$G$176,3,FALSE)</f>
        <v>FASIL KK</v>
      </c>
      <c r="E111" s="11" t="str">
        <f>VLOOKUP(C111,Data!$B$2:$G$176,4,FALSE)</f>
        <v>Puthenchira9446151331</v>
      </c>
      <c r="F111" s="10" t="str">
        <f>VLOOKUP(C111,Data!$B$2:$G$176,5,FALSE)</f>
        <v>Thrissur</v>
      </c>
      <c r="G111" s="9" t="str">
        <f>VLOOKUP(C111,Data!$B$2:$G$176,6,FALSE)</f>
        <v>9446151331</v>
      </c>
      <c r="H111" s="9" t="s">
        <v>159</v>
      </c>
      <c r="I111" s="10"/>
      <c r="J111" s="8">
        <f t="shared" si="1"/>
        <v>4000</v>
      </c>
      <c r="K111" s="8">
        <v>0</v>
      </c>
      <c r="L111" s="9">
        <v>24000</v>
      </c>
      <c r="M111" s="9">
        <f t="shared" si="2"/>
        <v>4000</v>
      </c>
      <c r="N111" s="9"/>
      <c r="O111" s="9"/>
      <c r="P111" s="9"/>
      <c r="Q111" s="9"/>
      <c r="R111" s="9"/>
      <c r="S111" s="9"/>
      <c r="T111" s="9"/>
      <c r="U111" s="13">
        <f t="shared" si="3"/>
        <v>0</v>
      </c>
      <c r="V111" s="13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spans="1:34" ht="30.75" customHeight="1" x14ac:dyDescent="0.2">
      <c r="A112" s="8">
        <f t="shared" si="4"/>
        <v>109</v>
      </c>
      <c r="B112" s="9"/>
      <c r="C112" s="9" t="s">
        <v>160</v>
      </c>
      <c r="D112" s="10" t="str">
        <f>VLOOKUP(C112,Data!$B$2:$G$176,3,FALSE)</f>
        <v>SHIHAB</v>
      </c>
      <c r="E112" s="11" t="str">
        <f>VLOOKUP(C112,Data!$B$2:$G$176,4,FALSE)</f>
        <v>Anakkayam9037132363</v>
      </c>
      <c r="F112" s="10" t="str">
        <f>VLOOKUP(C112,Data!$B$2:$G$176,5,FALSE)</f>
        <v>Malappuram</v>
      </c>
      <c r="G112" s="9" t="str">
        <f>VLOOKUP(C112,Data!$B$2:$G$176,6,FALSE)</f>
        <v>9037132363</v>
      </c>
      <c r="H112" s="9" t="s">
        <v>161</v>
      </c>
      <c r="I112" s="10"/>
      <c r="J112" s="8">
        <f t="shared" si="1"/>
        <v>9000</v>
      </c>
      <c r="K112" s="8">
        <v>5000</v>
      </c>
      <c r="L112" s="9">
        <v>24000</v>
      </c>
      <c r="M112" s="9">
        <f t="shared" si="2"/>
        <v>4000</v>
      </c>
      <c r="N112" s="9"/>
      <c r="O112" s="9"/>
      <c r="P112" s="9"/>
      <c r="Q112" s="9"/>
      <c r="R112" s="9"/>
      <c r="S112" s="9"/>
      <c r="T112" s="9"/>
      <c r="U112" s="13">
        <f t="shared" si="3"/>
        <v>0</v>
      </c>
      <c r="V112" s="13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spans="1:34" ht="30.75" customHeight="1" x14ac:dyDescent="0.2">
      <c r="A113" s="8">
        <f t="shared" si="4"/>
        <v>110</v>
      </c>
      <c r="B113" s="9"/>
      <c r="C113" s="9" t="s">
        <v>162</v>
      </c>
      <c r="D113" s="10" t="str">
        <f>VLOOKUP(C113,Data!$B$2:$G$176,3,FALSE)</f>
        <v>KUNHIKOYA</v>
      </c>
      <c r="E113" s="11" t="str">
        <f>VLOOKUP(C113,Data!$B$2:$G$176,4,FALSE)</f>
        <v>Tanur7356416112</v>
      </c>
      <c r="F113" s="10" t="str">
        <f>VLOOKUP(C113,Data!$B$2:$G$176,5,FALSE)</f>
        <v>Malappuram</v>
      </c>
      <c r="G113" s="9" t="str">
        <f>VLOOKUP(C113,Data!$B$2:$G$176,6,FALSE)</f>
        <v>7356416112</v>
      </c>
      <c r="H113" s="9" t="s">
        <v>163</v>
      </c>
      <c r="I113" s="10"/>
      <c r="J113" s="8">
        <f t="shared" si="1"/>
        <v>16000</v>
      </c>
      <c r="K113" s="8">
        <v>12000</v>
      </c>
      <c r="L113" s="9">
        <v>24000</v>
      </c>
      <c r="M113" s="9">
        <f t="shared" si="2"/>
        <v>4000</v>
      </c>
      <c r="N113" s="9"/>
      <c r="O113" s="9"/>
      <c r="P113" s="9"/>
      <c r="Q113" s="9"/>
      <c r="R113" s="9"/>
      <c r="S113" s="9"/>
      <c r="T113" s="9"/>
      <c r="U113" s="13">
        <f t="shared" si="3"/>
        <v>0</v>
      </c>
      <c r="V113" s="13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spans="1:34" ht="30.75" customHeight="1" x14ac:dyDescent="0.2">
      <c r="A114" s="8">
        <f t="shared" si="4"/>
        <v>111</v>
      </c>
      <c r="B114" s="9"/>
      <c r="C114" s="9" t="s">
        <v>164</v>
      </c>
      <c r="D114" s="10" t="str">
        <f>VLOOKUP(C114,Data!$B$2:$G$176,3,FALSE)</f>
        <v>SHAREEF V</v>
      </c>
      <c r="E114" s="11" t="str">
        <f>VLOOKUP(C114,Data!$B$2:$G$176,4,FALSE)</f>
        <v>Ponmala9034146268</v>
      </c>
      <c r="F114" s="10" t="str">
        <f>VLOOKUP(C114,Data!$B$2:$G$176,5,FALSE)</f>
        <v>Malappuram</v>
      </c>
      <c r="G114" s="9" t="str">
        <f>VLOOKUP(C114,Data!$B$2:$G$176,6,FALSE)</f>
        <v>9034146268</v>
      </c>
      <c r="H114" s="9" t="s">
        <v>163</v>
      </c>
      <c r="I114" s="10"/>
      <c r="J114" s="8">
        <f t="shared" si="1"/>
        <v>6000</v>
      </c>
      <c r="K114" s="8">
        <v>4000</v>
      </c>
      <c r="L114" s="9">
        <v>12000</v>
      </c>
      <c r="M114" s="9">
        <f t="shared" si="2"/>
        <v>2000</v>
      </c>
      <c r="N114" s="9"/>
      <c r="O114" s="9"/>
      <c r="P114" s="9"/>
      <c r="Q114" s="9"/>
      <c r="R114" s="9"/>
      <c r="S114" s="9"/>
      <c r="T114" s="9"/>
      <c r="U114" s="13">
        <f t="shared" si="3"/>
        <v>0</v>
      </c>
      <c r="V114" s="13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spans="1:34" ht="30.75" customHeight="1" x14ac:dyDescent="0.2">
      <c r="A115" s="8">
        <f t="shared" si="4"/>
        <v>112</v>
      </c>
      <c r="B115" s="9"/>
      <c r="C115" s="9" t="s">
        <v>165</v>
      </c>
      <c r="D115" s="10" t="str">
        <f>VLOOKUP(C115,Data!$B$2:$G$176,3,FALSE)</f>
        <v>BASHEER C</v>
      </c>
      <c r="E115" s="11" t="str">
        <f>VLOOKUP(C115,Data!$B$2:$G$176,4,FALSE)</f>
        <v>Calicut Airport9809339966</v>
      </c>
      <c r="F115" s="10" t="str">
        <f>VLOOKUP(C115,Data!$B$2:$G$176,5,FALSE)</f>
        <v>Malappuram</v>
      </c>
      <c r="G115" s="9" t="str">
        <f>VLOOKUP(C115,Data!$B$2:$G$176,6,FALSE)</f>
        <v>9809339966</v>
      </c>
      <c r="H115" s="9" t="s">
        <v>163</v>
      </c>
      <c r="I115" s="10"/>
      <c r="J115" s="8">
        <f t="shared" si="1"/>
        <v>14000</v>
      </c>
      <c r="K115" s="8">
        <v>12000</v>
      </c>
      <c r="L115" s="9">
        <v>12000</v>
      </c>
      <c r="M115" s="9">
        <f t="shared" si="2"/>
        <v>2000</v>
      </c>
      <c r="N115" s="9"/>
      <c r="O115" s="9"/>
      <c r="P115" s="9"/>
      <c r="Q115" s="9"/>
      <c r="R115" s="9"/>
      <c r="S115" s="9"/>
      <c r="T115" s="9"/>
      <c r="U115" s="13">
        <f t="shared" si="3"/>
        <v>0</v>
      </c>
      <c r="V115" s="13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spans="1:34" ht="30.75" customHeight="1" x14ac:dyDescent="0.2">
      <c r="A116" s="8">
        <f t="shared" si="4"/>
        <v>113</v>
      </c>
      <c r="B116" s="9"/>
      <c r="C116" s="9" t="s">
        <v>166</v>
      </c>
      <c r="D116" s="10" t="str">
        <f>VLOOKUP(C116,Data!$B$2:$G$176,3,FALSE)</f>
        <v>IBRAHIM</v>
      </c>
      <c r="E116" s="11" t="str">
        <f>VLOOKUP(C116,Data!$B$2:$G$176,4,FALSE)</f>
        <v>Kuttipuram8943064084</v>
      </c>
      <c r="F116" s="10" t="str">
        <f>VLOOKUP(C116,Data!$B$2:$G$176,5,FALSE)</f>
        <v>Malappuram</v>
      </c>
      <c r="G116" s="9" t="str">
        <f>VLOOKUP(C116,Data!$B$2:$G$176,6,FALSE)</f>
        <v>8943064084</v>
      </c>
      <c r="H116" s="9" t="s">
        <v>163</v>
      </c>
      <c r="I116" s="10"/>
      <c r="J116" s="8">
        <f t="shared" si="1"/>
        <v>16000</v>
      </c>
      <c r="K116" s="8">
        <v>12000</v>
      </c>
      <c r="L116" s="9">
        <v>24000</v>
      </c>
      <c r="M116" s="9">
        <f t="shared" si="2"/>
        <v>4000</v>
      </c>
      <c r="N116" s="9"/>
      <c r="O116" s="9"/>
      <c r="P116" s="9"/>
      <c r="Q116" s="9"/>
      <c r="R116" s="9"/>
      <c r="S116" s="9"/>
      <c r="T116" s="9"/>
      <c r="U116" s="13">
        <f t="shared" si="3"/>
        <v>0</v>
      </c>
      <c r="V116" s="13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spans="1:34" ht="30.75" customHeight="1" x14ac:dyDescent="0.2">
      <c r="A117" s="8">
        <f t="shared" si="4"/>
        <v>114</v>
      </c>
      <c r="B117" s="9"/>
      <c r="C117" s="9" t="s">
        <v>167</v>
      </c>
      <c r="D117" s="10" t="str">
        <f>VLOOKUP(C117,Data!$B$2:$G$176,3,FALSE)</f>
        <v>SALAM</v>
      </c>
      <c r="E117" s="11" t="str">
        <f>VLOOKUP(C117,Data!$B$2:$G$176,4,FALSE)</f>
        <v>Velluvangad9446782427</v>
      </c>
      <c r="F117" s="10" t="str">
        <f>VLOOKUP(C117,Data!$B$2:$G$176,5,FALSE)</f>
        <v>Malappuram</v>
      </c>
      <c r="G117" s="9" t="str">
        <f>VLOOKUP(C117,Data!$B$2:$G$176,6,FALSE)</f>
        <v>9446782427</v>
      </c>
      <c r="H117" s="9" t="s">
        <v>163</v>
      </c>
      <c r="I117" s="10"/>
      <c r="J117" s="8">
        <f t="shared" si="1"/>
        <v>33000</v>
      </c>
      <c r="K117" s="8">
        <v>29000</v>
      </c>
      <c r="L117" s="9">
        <v>24000</v>
      </c>
      <c r="M117" s="9">
        <f t="shared" si="2"/>
        <v>4000</v>
      </c>
      <c r="N117" s="9"/>
      <c r="O117" s="9"/>
      <c r="P117" s="9"/>
      <c r="Q117" s="9"/>
      <c r="R117" s="9"/>
      <c r="S117" s="9"/>
      <c r="T117" s="9"/>
      <c r="U117" s="13">
        <f t="shared" si="3"/>
        <v>0</v>
      </c>
      <c r="V117" s="13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spans="1:34" ht="30.75" customHeight="1" x14ac:dyDescent="0.2">
      <c r="A118" s="8">
        <f t="shared" si="4"/>
        <v>115</v>
      </c>
      <c r="B118" s="9"/>
      <c r="C118" s="9" t="s">
        <v>168</v>
      </c>
      <c r="D118" s="10" t="str">
        <f>VLOOKUP(C118,Data!$B$2:$G$176,3,FALSE)</f>
        <v>SHIHABUDHEEN</v>
      </c>
      <c r="E118" s="11" t="str">
        <f>VLOOKUP(C118,Data!$B$2:$G$176,4,FALSE)</f>
        <v>Mannam9895533096</v>
      </c>
      <c r="F118" s="10" t="str">
        <f>VLOOKUP(C118,Data!$B$2:$G$176,5,FALSE)</f>
        <v>Ernakulam</v>
      </c>
      <c r="G118" s="9" t="str">
        <f>VLOOKUP(C118,Data!$B$2:$G$176,6,FALSE)</f>
        <v>9895533096</v>
      </c>
      <c r="H118" s="9" t="s">
        <v>163</v>
      </c>
      <c r="I118" s="10"/>
      <c r="J118" s="8">
        <f t="shared" si="1"/>
        <v>4000</v>
      </c>
      <c r="K118" s="8">
        <v>0</v>
      </c>
      <c r="L118" s="9">
        <v>24000</v>
      </c>
      <c r="M118" s="9">
        <f t="shared" si="2"/>
        <v>4000</v>
      </c>
      <c r="N118" s="9"/>
      <c r="O118" s="9"/>
      <c r="P118" s="9"/>
      <c r="Q118" s="9"/>
      <c r="R118" s="9"/>
      <c r="S118" s="9"/>
      <c r="T118" s="9"/>
      <c r="U118" s="13">
        <f t="shared" si="3"/>
        <v>0</v>
      </c>
      <c r="V118" s="13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spans="1:34" ht="30.75" customHeight="1" x14ac:dyDescent="0.2">
      <c r="A119" s="8">
        <f t="shared" si="4"/>
        <v>116</v>
      </c>
      <c r="B119" s="9"/>
      <c r="C119" s="9" t="s">
        <v>169</v>
      </c>
      <c r="D119" s="10" t="str">
        <f>VLOOKUP(C119,Data!$B$2:$G$176,3,FALSE)</f>
        <v>VAHAB A</v>
      </c>
      <c r="E119" s="11" t="str">
        <f>VLOOKUP(C119,Data!$B$2:$G$176,4,FALSE)</f>
        <v>Aluva9544352760</v>
      </c>
      <c r="F119" s="10" t="str">
        <f>VLOOKUP(C119,Data!$B$2:$G$176,5,FALSE)</f>
        <v>Ernakulam</v>
      </c>
      <c r="G119" s="9" t="str">
        <f>VLOOKUP(C119,Data!$B$2:$G$176,6,FALSE)</f>
        <v>9544352760</v>
      </c>
      <c r="H119" s="9" t="s">
        <v>170</v>
      </c>
      <c r="I119" s="10"/>
      <c r="J119" s="8">
        <f t="shared" si="1"/>
        <v>8000</v>
      </c>
      <c r="K119" s="8">
        <v>6000</v>
      </c>
      <c r="L119" s="9">
        <v>12000</v>
      </c>
      <c r="M119" s="9">
        <f t="shared" si="2"/>
        <v>2000</v>
      </c>
      <c r="N119" s="9"/>
      <c r="O119" s="9"/>
      <c r="P119" s="9"/>
      <c r="Q119" s="9"/>
      <c r="R119" s="9"/>
      <c r="S119" s="9"/>
      <c r="T119" s="9"/>
      <c r="U119" s="13">
        <f t="shared" si="3"/>
        <v>0</v>
      </c>
      <c r="V119" s="13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spans="1:34" ht="30.75" customHeight="1" x14ac:dyDescent="0.2">
      <c r="A120" s="8">
        <f t="shared" si="4"/>
        <v>117</v>
      </c>
      <c r="B120" s="9"/>
      <c r="C120" s="9" t="s">
        <v>171</v>
      </c>
      <c r="D120" s="10" t="str">
        <f>VLOOKUP(C120,Data!$B$2:$G$176,3,FALSE)</f>
        <v>SHIHABUDHEEN</v>
      </c>
      <c r="E120" s="11" t="str">
        <f>VLOOKUP(C120,Data!$B$2:$G$176,4,FALSE)</f>
        <v>Kaduvinal9633984242</v>
      </c>
      <c r="F120" s="10" t="str">
        <f>VLOOKUP(C120,Data!$B$2:$G$176,5,FALSE)</f>
        <v>Alappuzha</v>
      </c>
      <c r="G120" s="9" t="str">
        <f>VLOOKUP(C120,Data!$B$2:$G$176,6,FALSE)</f>
        <v>9633984242</v>
      </c>
      <c r="H120" s="9" t="s">
        <v>170</v>
      </c>
      <c r="I120" s="10"/>
      <c r="J120" s="8">
        <f t="shared" si="1"/>
        <v>30500</v>
      </c>
      <c r="K120" s="8">
        <v>26500</v>
      </c>
      <c r="L120" s="9">
        <v>24000</v>
      </c>
      <c r="M120" s="9">
        <f t="shared" si="2"/>
        <v>4000</v>
      </c>
      <c r="N120" s="9"/>
      <c r="O120" s="9"/>
      <c r="P120" s="9"/>
      <c r="Q120" s="9"/>
      <c r="R120" s="9"/>
      <c r="S120" s="9"/>
      <c r="T120" s="9"/>
      <c r="U120" s="13">
        <f t="shared" si="3"/>
        <v>0</v>
      </c>
      <c r="V120" s="13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spans="1:34" ht="30.75" customHeight="1" x14ac:dyDescent="0.2">
      <c r="A121" s="8">
        <f t="shared" si="4"/>
        <v>118</v>
      </c>
      <c r="B121" s="9"/>
      <c r="C121" s="9" t="s">
        <v>172</v>
      </c>
      <c r="D121" s="10" t="str">
        <f>VLOOKUP(C121,Data!$B$2:$G$176,3,FALSE)</f>
        <v>LIYAKATHALI</v>
      </c>
      <c r="E121" s="11" t="str">
        <f>VLOOKUP(C121,Data!$B$2:$G$176,4,FALSE)</f>
        <v>Veloor9946812496</v>
      </c>
      <c r="F121" s="10" t="str">
        <f>VLOOKUP(C121,Data!$B$2:$G$176,5,FALSE)</f>
        <v>Malappuram</v>
      </c>
      <c r="G121" s="9" t="str">
        <f>VLOOKUP(C121,Data!$B$2:$G$176,6,FALSE)</f>
        <v>9946812496</v>
      </c>
      <c r="H121" s="9" t="s">
        <v>170</v>
      </c>
      <c r="I121" s="10"/>
      <c r="J121" s="8">
        <f t="shared" si="1"/>
        <v>12000</v>
      </c>
      <c r="K121" s="8">
        <v>8000</v>
      </c>
      <c r="L121" s="9">
        <v>24000</v>
      </c>
      <c r="M121" s="9">
        <f t="shared" si="2"/>
        <v>4000</v>
      </c>
      <c r="N121" s="9"/>
      <c r="O121" s="9"/>
      <c r="P121" s="9"/>
      <c r="Q121" s="9"/>
      <c r="R121" s="9"/>
      <c r="S121" s="9"/>
      <c r="T121" s="9"/>
      <c r="U121" s="13">
        <f t="shared" si="3"/>
        <v>0</v>
      </c>
      <c r="V121" s="13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ht="30.75" customHeight="1" x14ac:dyDescent="0.2">
      <c r="A122" s="8">
        <f t="shared" si="4"/>
        <v>119</v>
      </c>
      <c r="B122" s="9"/>
      <c r="C122" s="9" t="s">
        <v>173</v>
      </c>
      <c r="D122" s="10" t="str">
        <f>VLOOKUP(C122,Data!$B$2:$G$176,3,FALSE)</f>
        <v xml:space="preserve">YOUSAF </v>
      </c>
      <c r="E122" s="11" t="str">
        <f>VLOOKUP(C122,Data!$B$2:$G$176,4,FALSE)</f>
        <v>Chiravalloor9847025323</v>
      </c>
      <c r="F122" s="10" t="str">
        <f>VLOOKUP(C122,Data!$B$2:$G$176,5,FALSE)</f>
        <v>Malappuram</v>
      </c>
      <c r="G122" s="9" t="str">
        <f>VLOOKUP(C122,Data!$B$2:$G$176,6,FALSE)</f>
        <v>9847025323</v>
      </c>
      <c r="H122" s="9" t="s">
        <v>170</v>
      </c>
      <c r="I122" s="10"/>
      <c r="J122" s="8">
        <f t="shared" si="1"/>
        <v>4000</v>
      </c>
      <c r="K122" s="8">
        <v>0</v>
      </c>
      <c r="L122" s="9">
        <v>24000</v>
      </c>
      <c r="M122" s="9">
        <f t="shared" si="2"/>
        <v>4000</v>
      </c>
      <c r="N122" s="9"/>
      <c r="O122" s="9"/>
      <c r="P122" s="9"/>
      <c r="Q122" s="9"/>
      <c r="R122" s="9"/>
      <c r="S122" s="9"/>
      <c r="T122" s="9"/>
      <c r="U122" s="13">
        <f t="shared" si="3"/>
        <v>0</v>
      </c>
      <c r="V122" s="13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ht="30.75" customHeight="1" x14ac:dyDescent="0.2">
      <c r="A123" s="8">
        <f t="shared" si="4"/>
        <v>120</v>
      </c>
      <c r="B123" s="9"/>
      <c r="C123" s="9" t="s">
        <v>174</v>
      </c>
      <c r="D123" s="10" t="str">
        <f>VLOOKUP(C123,Data!$B$2:$G$176,3,FALSE)</f>
        <v>ABDUL RAZAK KM</v>
      </c>
      <c r="E123" s="11" t="str">
        <f>VLOOKUP(C123,Data!$B$2:$G$176,4,FALSE)</f>
        <v>Shornur7012229210</v>
      </c>
      <c r="F123" s="10" t="str">
        <f>VLOOKUP(C123,Data!$B$2:$G$176,5,FALSE)</f>
        <v>Palakkade</v>
      </c>
      <c r="G123" s="9" t="str">
        <f>VLOOKUP(C123,Data!$B$2:$G$176,6,FALSE)</f>
        <v>7012229210</v>
      </c>
      <c r="H123" s="9" t="s">
        <v>170</v>
      </c>
      <c r="I123" s="10"/>
      <c r="J123" s="8">
        <f t="shared" si="1"/>
        <v>24000</v>
      </c>
      <c r="K123" s="8">
        <v>20000</v>
      </c>
      <c r="L123" s="9">
        <v>24000</v>
      </c>
      <c r="M123" s="9">
        <f t="shared" si="2"/>
        <v>4000</v>
      </c>
      <c r="N123" s="9"/>
      <c r="O123" s="9"/>
      <c r="P123" s="9"/>
      <c r="Q123" s="9"/>
      <c r="R123" s="9"/>
      <c r="S123" s="9"/>
      <c r="T123" s="9"/>
      <c r="U123" s="13">
        <f t="shared" si="3"/>
        <v>0</v>
      </c>
      <c r="V123" s="13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spans="1:34" ht="30.75" customHeight="1" x14ac:dyDescent="0.2">
      <c r="A124" s="8">
        <f t="shared" si="4"/>
        <v>121</v>
      </c>
      <c r="B124" s="9"/>
      <c r="C124" s="9" t="s">
        <v>175</v>
      </c>
      <c r="D124" s="10" t="str">
        <f>VLOOKUP(C124,Data!$B$2:$G$176,3,FALSE)</f>
        <v>SEENATH</v>
      </c>
      <c r="E124" s="11" t="str">
        <f>VLOOKUP(C124,Data!$B$2:$G$176,4,FALSE)</f>
        <v>Elappully7907405365</v>
      </c>
      <c r="F124" s="10" t="str">
        <f>VLOOKUP(C124,Data!$B$2:$G$176,5,FALSE)</f>
        <v>Palakkade</v>
      </c>
      <c r="G124" s="9" t="str">
        <f>VLOOKUP(C124,Data!$B$2:$G$176,6,FALSE)</f>
        <v>7907405365</v>
      </c>
      <c r="H124" s="9" t="s">
        <v>170</v>
      </c>
      <c r="I124" s="10"/>
      <c r="J124" s="8">
        <f t="shared" si="1"/>
        <v>-400</v>
      </c>
      <c r="K124" s="8">
        <v>-4400</v>
      </c>
      <c r="L124" s="9">
        <v>24000</v>
      </c>
      <c r="M124" s="9">
        <f t="shared" si="2"/>
        <v>4000</v>
      </c>
      <c r="N124" s="9"/>
      <c r="O124" s="9"/>
      <c r="P124" s="9"/>
      <c r="Q124" s="9"/>
      <c r="R124" s="9"/>
      <c r="S124" s="9"/>
      <c r="T124" s="9"/>
      <c r="U124" s="13">
        <f t="shared" si="3"/>
        <v>0</v>
      </c>
      <c r="V124" s="13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spans="1:34" ht="30.75" customHeight="1" x14ac:dyDescent="0.2">
      <c r="A125" s="8">
        <f t="shared" si="4"/>
        <v>122</v>
      </c>
      <c r="B125" s="9"/>
      <c r="C125" s="9" t="s">
        <v>176</v>
      </c>
      <c r="D125" s="10" t="str">
        <f>VLOOKUP(C125,Data!$B$2:$G$176,3,FALSE)</f>
        <v>FIROS KHAN</v>
      </c>
      <c r="E125" s="11" t="str">
        <f>VLOOKUP(C125,Data!$B$2:$G$176,4,FALSE)</f>
        <v>Thachampoyil9497079386</v>
      </c>
      <c r="F125" s="10" t="str">
        <f>VLOOKUP(C125,Data!$B$2:$G$176,5,FALSE)</f>
        <v>Kozhikode</v>
      </c>
      <c r="G125" s="9" t="str">
        <f>VLOOKUP(C125,Data!$B$2:$G$176,6,FALSE)</f>
        <v>9497079386</v>
      </c>
      <c r="H125" s="9" t="s">
        <v>170</v>
      </c>
      <c r="I125" s="10"/>
      <c r="J125" s="8">
        <f t="shared" si="1"/>
        <v>16000</v>
      </c>
      <c r="K125" s="8">
        <v>12000</v>
      </c>
      <c r="L125" s="9">
        <v>24000</v>
      </c>
      <c r="M125" s="9">
        <f t="shared" si="2"/>
        <v>4000</v>
      </c>
      <c r="N125" s="9"/>
      <c r="O125" s="9"/>
      <c r="P125" s="9"/>
      <c r="Q125" s="9"/>
      <c r="R125" s="9"/>
      <c r="S125" s="9"/>
      <c r="T125" s="9"/>
      <c r="U125" s="13">
        <f t="shared" si="3"/>
        <v>0</v>
      </c>
      <c r="V125" s="13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spans="1:34" ht="30.75" customHeight="1" x14ac:dyDescent="0.2">
      <c r="A126" s="8">
        <f t="shared" si="4"/>
        <v>123</v>
      </c>
      <c r="B126" s="9"/>
      <c r="C126" s="9" t="s">
        <v>177</v>
      </c>
      <c r="D126" s="10" t="str">
        <f>VLOOKUP(C126,Data!$B$2:$G$176,3,FALSE)</f>
        <v>NOORUDHEEN</v>
      </c>
      <c r="E126" s="11" t="str">
        <f>VLOOKUP(C126,Data!$B$2:$G$176,4,FALSE)</f>
        <v>Valiyora7025024277</v>
      </c>
      <c r="F126" s="10" t="str">
        <f>VLOOKUP(C126,Data!$B$2:$G$176,5,FALSE)</f>
        <v>Malappuram</v>
      </c>
      <c r="G126" s="9" t="str">
        <f>VLOOKUP(C126,Data!$B$2:$G$176,6,FALSE)</f>
        <v>7025024277</v>
      </c>
      <c r="H126" s="9" t="s">
        <v>170</v>
      </c>
      <c r="I126" s="10"/>
      <c r="J126" s="8">
        <f t="shared" si="1"/>
        <v>55000</v>
      </c>
      <c r="K126" s="8">
        <v>51000</v>
      </c>
      <c r="L126" s="9">
        <v>24000</v>
      </c>
      <c r="M126" s="9">
        <f t="shared" si="2"/>
        <v>4000</v>
      </c>
      <c r="N126" s="9"/>
      <c r="O126" s="9"/>
      <c r="P126" s="9"/>
      <c r="Q126" s="9"/>
      <c r="R126" s="9"/>
      <c r="S126" s="9"/>
      <c r="T126" s="9"/>
      <c r="U126" s="13">
        <f t="shared" si="3"/>
        <v>0</v>
      </c>
      <c r="V126" s="13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spans="1:34" ht="30.75" customHeight="1" x14ac:dyDescent="0.2">
      <c r="A127" s="8">
        <f t="shared" si="4"/>
        <v>124</v>
      </c>
      <c r="B127" s="9"/>
      <c r="C127" s="9" t="s">
        <v>178</v>
      </c>
      <c r="D127" s="10" t="str">
        <f>VLOOKUP(C127,Data!$B$2:$G$176,3,FALSE)</f>
        <v>RAHIM</v>
      </c>
      <c r="E127" s="11" t="str">
        <f>VLOOKUP(C127,Data!$B$2:$G$176,4,FALSE)</f>
        <v>New Mahe9037187234</v>
      </c>
      <c r="F127" s="10" t="str">
        <f>VLOOKUP(C127,Data!$B$2:$G$176,5,FALSE)</f>
        <v>Kannur</v>
      </c>
      <c r="G127" s="9" t="str">
        <f>VLOOKUP(C127,Data!$B$2:$G$176,6,FALSE)</f>
        <v>9037187234</v>
      </c>
      <c r="H127" s="9" t="s">
        <v>170</v>
      </c>
      <c r="I127" s="10"/>
      <c r="J127" s="8">
        <f t="shared" si="1"/>
        <v>8000</v>
      </c>
      <c r="K127" s="8">
        <v>4000</v>
      </c>
      <c r="L127" s="9">
        <v>24000</v>
      </c>
      <c r="M127" s="9">
        <f t="shared" si="2"/>
        <v>4000</v>
      </c>
      <c r="N127" s="9"/>
      <c r="O127" s="9"/>
      <c r="P127" s="9"/>
      <c r="Q127" s="9"/>
      <c r="R127" s="9"/>
      <c r="S127" s="9"/>
      <c r="T127" s="9"/>
      <c r="U127" s="13">
        <f t="shared" si="3"/>
        <v>0</v>
      </c>
      <c r="V127" s="13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spans="1:34" ht="30.75" customHeight="1" x14ac:dyDescent="0.2">
      <c r="A128" s="8">
        <f t="shared" si="4"/>
        <v>125</v>
      </c>
      <c r="B128" s="9"/>
      <c r="C128" s="9" t="s">
        <v>179</v>
      </c>
      <c r="D128" s="10" t="str">
        <f>VLOOKUP(C128,Data!$B$2:$G$176,3,FALSE)</f>
        <v>NASIR KHALID</v>
      </c>
      <c r="E128" s="11" t="str">
        <f>VLOOKUP(C128,Data!$B$2:$G$176,4,FALSE)</f>
        <v>Mannoorkoonam 9567277882</v>
      </c>
      <c r="F128" s="10" t="str">
        <f>VLOOKUP(C128,Data!$B$2:$G$176,5,FALSE)</f>
        <v>Thiruvanathapuram</v>
      </c>
      <c r="G128" s="9" t="str">
        <f>VLOOKUP(C128,Data!$B$2:$G$176,6,FALSE)</f>
        <v>9567277882</v>
      </c>
      <c r="H128" s="9" t="s">
        <v>180</v>
      </c>
      <c r="I128" s="10"/>
      <c r="J128" s="8">
        <f t="shared" si="1"/>
        <v>11000</v>
      </c>
      <c r="K128" s="8">
        <v>9000</v>
      </c>
      <c r="L128" s="9">
        <v>12000</v>
      </c>
      <c r="M128" s="9">
        <f t="shared" si="2"/>
        <v>2000</v>
      </c>
      <c r="N128" s="9"/>
      <c r="O128" s="9"/>
      <c r="P128" s="9"/>
      <c r="Q128" s="9"/>
      <c r="R128" s="9"/>
      <c r="S128" s="9"/>
      <c r="T128" s="9"/>
      <c r="U128" s="13">
        <f t="shared" si="3"/>
        <v>0</v>
      </c>
      <c r="V128" s="13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spans="1:34" ht="30.75" customHeight="1" x14ac:dyDescent="0.2">
      <c r="A129" s="8">
        <f t="shared" si="4"/>
        <v>126</v>
      </c>
      <c r="B129" s="9"/>
      <c r="C129" s="9" t="s">
        <v>181</v>
      </c>
      <c r="D129" s="10" t="str">
        <f>VLOOKUP(C129,Data!$B$2:$G$176,3,FALSE)</f>
        <v>SAJEEV B</v>
      </c>
      <c r="E129" s="11" t="str">
        <f>VLOOKUP(C129,Data!$B$2:$G$176,4,FALSE)</f>
        <v>Vakkam 9567572262</v>
      </c>
      <c r="F129" s="10" t="str">
        <f>VLOOKUP(C129,Data!$B$2:$G$176,5,FALSE)</f>
        <v>Thiruvanathapuram</v>
      </c>
      <c r="G129" s="9" t="str">
        <f>VLOOKUP(C129,Data!$B$2:$G$176,6,FALSE)</f>
        <v>9567572262</v>
      </c>
      <c r="H129" s="9" t="s">
        <v>180</v>
      </c>
      <c r="I129" s="10"/>
      <c r="J129" s="8">
        <f t="shared" si="1"/>
        <v>8000</v>
      </c>
      <c r="K129" s="8">
        <v>4000</v>
      </c>
      <c r="L129" s="9">
        <v>24000</v>
      </c>
      <c r="M129" s="9">
        <f t="shared" si="2"/>
        <v>4000</v>
      </c>
      <c r="N129" s="9"/>
      <c r="O129" s="9"/>
      <c r="P129" s="9"/>
      <c r="Q129" s="9"/>
      <c r="R129" s="9"/>
      <c r="S129" s="9"/>
      <c r="T129" s="9"/>
      <c r="U129" s="13">
        <f t="shared" si="3"/>
        <v>0</v>
      </c>
      <c r="V129" s="13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1:34" ht="30.75" customHeight="1" x14ac:dyDescent="0.2">
      <c r="A130" s="8">
        <f t="shared" si="4"/>
        <v>127</v>
      </c>
      <c r="B130" s="9"/>
      <c r="C130" s="9" t="s">
        <v>182</v>
      </c>
      <c r="D130" s="10" t="str">
        <f>VLOOKUP(C130,Data!$B$2:$G$176,3,FALSE)</f>
        <v>IQBAL</v>
      </c>
      <c r="E130" s="11" t="str">
        <f>VLOOKUP(C130,Data!$B$2:$G$176,4,FALSE)</f>
        <v>Perinthalmanna9745903145</v>
      </c>
      <c r="F130" s="10" t="str">
        <f>VLOOKUP(C130,Data!$B$2:$G$176,5,FALSE)</f>
        <v>Malappuram</v>
      </c>
      <c r="G130" s="9" t="str">
        <f>VLOOKUP(C130,Data!$B$2:$G$176,6,FALSE)</f>
        <v>9745903145</v>
      </c>
      <c r="H130" s="9" t="s">
        <v>180</v>
      </c>
      <c r="I130" s="10"/>
      <c r="J130" s="8">
        <f t="shared" si="1"/>
        <v>8500</v>
      </c>
      <c r="K130" s="8">
        <v>6500</v>
      </c>
      <c r="L130" s="9">
        <v>12000</v>
      </c>
      <c r="M130" s="9">
        <f t="shared" si="2"/>
        <v>2000</v>
      </c>
      <c r="N130" s="9"/>
      <c r="O130" s="9"/>
      <c r="P130" s="9"/>
      <c r="Q130" s="9"/>
      <c r="R130" s="9"/>
      <c r="S130" s="9"/>
      <c r="T130" s="9"/>
      <c r="U130" s="13">
        <f t="shared" si="3"/>
        <v>0</v>
      </c>
      <c r="V130" s="13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spans="1:34" ht="30.75" customHeight="1" x14ac:dyDescent="0.2">
      <c r="A131" s="8">
        <f t="shared" si="4"/>
        <v>128</v>
      </c>
      <c r="B131" s="9"/>
      <c r="C131" s="9" t="s">
        <v>183</v>
      </c>
      <c r="D131" s="10" t="str">
        <f>VLOOKUP(C131,Data!$B$2:$G$176,3,FALSE)</f>
        <v>NASARUDHEEN</v>
      </c>
      <c r="E131" s="11" t="str">
        <f>VLOOKUP(C131,Data!$B$2:$G$176,4,FALSE)</f>
        <v>Vembayam8078536800</v>
      </c>
      <c r="F131" s="10" t="str">
        <f>VLOOKUP(C131,Data!$B$2:$G$176,5,FALSE)</f>
        <v>Thiruvanathapuram</v>
      </c>
      <c r="G131" s="9" t="str">
        <f>VLOOKUP(C131,Data!$B$2:$G$176,6,FALSE)</f>
        <v>8078536800</v>
      </c>
      <c r="H131" s="9" t="s">
        <v>180</v>
      </c>
      <c r="I131" s="10"/>
      <c r="J131" s="8">
        <f t="shared" si="1"/>
        <v>17500</v>
      </c>
      <c r="K131" s="8">
        <v>15000</v>
      </c>
      <c r="L131" s="9">
        <v>15000</v>
      </c>
      <c r="M131" s="9">
        <f t="shared" si="2"/>
        <v>2500</v>
      </c>
      <c r="N131" s="9"/>
      <c r="O131" s="9"/>
      <c r="P131" s="9"/>
      <c r="Q131" s="9"/>
      <c r="R131" s="9"/>
      <c r="S131" s="9"/>
      <c r="T131" s="9"/>
      <c r="U131" s="13">
        <f t="shared" si="3"/>
        <v>0</v>
      </c>
      <c r="V131" s="13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spans="1:34" ht="30.75" customHeight="1" x14ac:dyDescent="0.2">
      <c r="A132" s="8">
        <f t="shared" si="4"/>
        <v>129</v>
      </c>
      <c r="B132" s="9"/>
      <c r="C132" s="9" t="s">
        <v>184</v>
      </c>
      <c r="D132" s="10" t="str">
        <f>VLOOKUP(C132,Data!$B$2:$G$176,3,FALSE)</f>
        <v>ANVAR NA</v>
      </c>
      <c r="E132" s="11" t="str">
        <f>VLOOKUP(C132,Data!$B$2:$G$176,4,FALSE)</f>
        <v>Pilakavu7012483013</v>
      </c>
      <c r="F132" s="10" t="str">
        <f>VLOOKUP(C132,Data!$B$2:$G$176,5,FALSE)</f>
        <v>Wayanad</v>
      </c>
      <c r="G132" s="9" t="str">
        <f>VLOOKUP(C132,Data!$B$2:$G$176,6,FALSE)</f>
        <v>7012483013</v>
      </c>
      <c r="H132" s="9" t="s">
        <v>180</v>
      </c>
      <c r="I132" s="10"/>
      <c r="J132" s="8">
        <f t="shared" si="1"/>
        <v>16000</v>
      </c>
      <c r="K132" s="8">
        <v>12000</v>
      </c>
      <c r="L132" s="9">
        <v>24000</v>
      </c>
      <c r="M132" s="9">
        <f t="shared" si="2"/>
        <v>4000</v>
      </c>
      <c r="N132" s="9"/>
      <c r="O132" s="9"/>
      <c r="P132" s="9"/>
      <c r="Q132" s="9"/>
      <c r="R132" s="9"/>
      <c r="S132" s="9"/>
      <c r="T132" s="9"/>
      <c r="U132" s="13">
        <f t="shared" si="3"/>
        <v>0</v>
      </c>
      <c r="V132" s="13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spans="1:34" ht="30.75" customHeight="1" x14ac:dyDescent="0.2">
      <c r="A133" s="8">
        <f t="shared" si="4"/>
        <v>130</v>
      </c>
      <c r="B133" s="9"/>
      <c r="C133" s="9" t="s">
        <v>185</v>
      </c>
      <c r="D133" s="10" t="str">
        <f>VLOOKUP(C133,Data!$B$2:$G$176,3,FALSE)</f>
        <v>NIZAMUDHEEN</v>
      </c>
      <c r="E133" s="11" t="str">
        <f>VLOOKUP(C133,Data!$B$2:$G$176,4,FALSE)</f>
        <v>Chekkakonam9072019513</v>
      </c>
      <c r="F133" s="10" t="str">
        <f>VLOOKUP(C133,Data!$B$2:$G$176,5,FALSE)</f>
        <v>Thiruvanathapuram</v>
      </c>
      <c r="G133" s="9" t="str">
        <f>VLOOKUP(C133,Data!$B$2:$G$176,6,FALSE)</f>
        <v>9072019513</v>
      </c>
      <c r="H133" s="9" t="s">
        <v>180</v>
      </c>
      <c r="I133" s="10"/>
      <c r="J133" s="8">
        <f t="shared" si="1"/>
        <v>6000</v>
      </c>
      <c r="K133" s="8">
        <v>4000</v>
      </c>
      <c r="L133" s="9">
        <v>12000</v>
      </c>
      <c r="M133" s="9">
        <f t="shared" si="2"/>
        <v>2000</v>
      </c>
      <c r="N133" s="9"/>
      <c r="O133" s="9"/>
      <c r="P133" s="9"/>
      <c r="Q133" s="9"/>
      <c r="R133" s="9"/>
      <c r="S133" s="9"/>
      <c r="T133" s="9"/>
      <c r="U133" s="13">
        <f t="shared" si="3"/>
        <v>0</v>
      </c>
      <c r="V133" s="13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1:34" ht="30.75" customHeight="1" x14ac:dyDescent="0.2">
      <c r="A134" s="8">
        <f t="shared" si="4"/>
        <v>131</v>
      </c>
      <c r="B134" s="9"/>
      <c r="C134" s="9" t="s">
        <v>186</v>
      </c>
      <c r="D134" s="10" t="str">
        <f>VLOOKUP(C134,Data!$B$2:$G$176,3,FALSE)</f>
        <v>M ISMAIL</v>
      </c>
      <c r="E134" s="11">
        <f>VLOOKUP(C134,Data!$B$2:$G$176,4,FALSE)</f>
        <v>0</v>
      </c>
      <c r="F134" s="10" t="str">
        <f>VLOOKUP(C134,Data!$B$2:$G$176,5,FALSE)</f>
        <v>Coimbatore</v>
      </c>
      <c r="G134" s="9" t="str">
        <f>VLOOKUP(C134,Data!$B$2:$G$176,6,FALSE)</f>
        <v>7418622411</v>
      </c>
      <c r="H134" s="9" t="s">
        <v>180</v>
      </c>
      <c r="I134" s="10"/>
      <c r="J134" s="8">
        <f t="shared" si="1"/>
        <v>23500</v>
      </c>
      <c r="K134" s="8">
        <v>19500</v>
      </c>
      <c r="L134" s="9">
        <v>24000</v>
      </c>
      <c r="M134" s="9">
        <f t="shared" si="2"/>
        <v>4000</v>
      </c>
      <c r="N134" s="9"/>
      <c r="O134" s="9"/>
      <c r="P134" s="9"/>
      <c r="Q134" s="9"/>
      <c r="R134" s="9"/>
      <c r="S134" s="9"/>
      <c r="T134" s="9"/>
      <c r="U134" s="13">
        <f t="shared" si="3"/>
        <v>0</v>
      </c>
      <c r="V134" s="13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1:34" ht="30.75" customHeight="1" x14ac:dyDescent="0.2">
      <c r="A135" s="8">
        <f t="shared" si="4"/>
        <v>132</v>
      </c>
      <c r="B135" s="9"/>
      <c r="C135" s="9" t="s">
        <v>187</v>
      </c>
      <c r="D135" s="10">
        <f>VLOOKUP(C135,Data!$B$2:$G$176,3,FALSE)</f>
        <v>0</v>
      </c>
      <c r="E135" s="11" t="str">
        <f>VLOOKUP(C135,Data!$B$2:$G$176,4,FALSE)</f>
        <v/>
      </c>
      <c r="F135" s="10">
        <f>VLOOKUP(C135,Data!$B$2:$G$176,5,FALSE)</f>
        <v>0</v>
      </c>
      <c r="G135" s="9" t="str">
        <f>VLOOKUP(C135,Data!$B$2:$G$176,6,FALSE)</f>
        <v/>
      </c>
      <c r="H135" s="9" t="s">
        <v>188</v>
      </c>
      <c r="I135" s="10"/>
      <c r="J135" s="8">
        <f t="shared" si="1"/>
        <v>6000</v>
      </c>
      <c r="K135" s="8">
        <v>4000</v>
      </c>
      <c r="L135" s="9">
        <v>12000</v>
      </c>
      <c r="M135" s="9">
        <f t="shared" si="2"/>
        <v>2000</v>
      </c>
      <c r="N135" s="9"/>
      <c r="O135" s="9"/>
      <c r="P135" s="9"/>
      <c r="Q135" s="9"/>
      <c r="R135" s="9"/>
      <c r="S135" s="9"/>
      <c r="T135" s="9"/>
      <c r="U135" s="13">
        <f t="shared" si="3"/>
        <v>0</v>
      </c>
      <c r="V135" s="13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 ht="30.75" customHeight="1" x14ac:dyDescent="0.2">
      <c r="A136" s="8">
        <f t="shared" si="4"/>
        <v>133</v>
      </c>
      <c r="B136" s="9"/>
      <c r="C136" s="9" t="s">
        <v>189</v>
      </c>
      <c r="D136" s="10" t="str">
        <f>VLOOKUP(C136,Data!$B$2:$G$176,3,FALSE)</f>
        <v>MOHAMMED ASHRAF</v>
      </c>
      <c r="E136" s="11" t="str">
        <f>VLOOKUP(C136,Data!$B$2:$G$176,4,FALSE)</f>
        <v xml:space="preserve">Kozhikkodan  Edarikkode  Malappuram </v>
      </c>
      <c r="F136" s="10" t="str">
        <f>VLOOKUP(C136,Data!$B$2:$G$176,5,FALSE)</f>
        <v>Malappuram</v>
      </c>
      <c r="G136" s="9" t="str">
        <f>VLOOKUP(C136,Data!$B$2:$G$176,6,FALSE)</f>
        <v>9400404055</v>
      </c>
      <c r="H136" s="9" t="s">
        <v>188</v>
      </c>
      <c r="I136" s="10"/>
      <c r="J136" s="8">
        <f t="shared" si="1"/>
        <v>10000</v>
      </c>
      <c r="K136" s="8">
        <v>8000</v>
      </c>
      <c r="L136" s="9">
        <v>12000</v>
      </c>
      <c r="M136" s="9">
        <f t="shared" si="2"/>
        <v>2000</v>
      </c>
      <c r="N136" s="9"/>
      <c r="O136" s="9"/>
      <c r="P136" s="9"/>
      <c r="Q136" s="9"/>
      <c r="R136" s="9"/>
      <c r="S136" s="9"/>
      <c r="T136" s="9"/>
      <c r="U136" s="13">
        <f t="shared" si="3"/>
        <v>0</v>
      </c>
      <c r="V136" s="13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spans="1:34" ht="30.75" customHeight="1" x14ac:dyDescent="0.2">
      <c r="A137" s="8">
        <f t="shared" si="4"/>
        <v>134</v>
      </c>
      <c r="B137" s="9"/>
      <c r="C137" s="9" t="s">
        <v>190</v>
      </c>
      <c r="D137" s="10" t="str">
        <f>VLOOKUP(C137,Data!$B$2:$G$176,3,FALSE)</f>
        <v>MOHAMMED MIDHLAJ</v>
      </c>
      <c r="E137" s="11" t="str">
        <f>VLOOKUP(C137,Data!$B$2:$G$176,4,FALSE)</f>
        <v xml:space="preserve">Machingal house Naripparamb (po) kalady </v>
      </c>
      <c r="F137" s="10" t="str">
        <f>VLOOKUP(C137,Data!$B$2:$G$176,5,FALSE)</f>
        <v>Malappuram</v>
      </c>
      <c r="G137" s="9" t="str">
        <f>VLOOKUP(C137,Data!$B$2:$G$176,6,FALSE)</f>
        <v>9037865355</v>
      </c>
      <c r="H137" s="9" t="s">
        <v>188</v>
      </c>
      <c r="I137" s="10"/>
      <c r="J137" s="8">
        <f t="shared" si="1"/>
        <v>5000</v>
      </c>
      <c r="K137" s="8">
        <v>3000</v>
      </c>
      <c r="L137" s="9">
        <v>12000</v>
      </c>
      <c r="M137" s="9">
        <f t="shared" si="2"/>
        <v>2000</v>
      </c>
      <c r="N137" s="9"/>
      <c r="O137" s="9"/>
      <c r="P137" s="9"/>
      <c r="Q137" s="9"/>
      <c r="R137" s="9"/>
      <c r="S137" s="9"/>
      <c r="T137" s="9"/>
      <c r="U137" s="13">
        <f t="shared" si="3"/>
        <v>0</v>
      </c>
      <c r="V137" s="13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 ht="30.75" customHeight="1" x14ac:dyDescent="0.2">
      <c r="A138" s="8">
        <f t="shared" si="4"/>
        <v>135</v>
      </c>
      <c r="B138" s="9"/>
      <c r="C138" s="9" t="s">
        <v>191</v>
      </c>
      <c r="D138" s="10" t="str">
        <f>VLOOKUP(C138,Data!$B$2:$G$176,3,FALSE)</f>
        <v>THAHAKUTTY.A</v>
      </c>
      <c r="E138" s="11" t="str">
        <f>VLOOKUP(C138,Data!$B$2:$G$176,4,FALSE)</f>
        <v>Thaha manzil Kulathupuza  Kollam</v>
      </c>
      <c r="F138" s="10" t="str">
        <f>VLOOKUP(C138,Data!$B$2:$G$176,5,FALSE)</f>
        <v>Kollam</v>
      </c>
      <c r="G138" s="9" t="str">
        <f>VLOOKUP(C138,Data!$B$2:$G$176,6,FALSE)</f>
        <v>8089801076</v>
      </c>
      <c r="H138" s="9" t="s">
        <v>188</v>
      </c>
      <c r="I138" s="10"/>
      <c r="J138" s="8">
        <f t="shared" si="1"/>
        <v>0</v>
      </c>
      <c r="K138" s="8">
        <v>-2000</v>
      </c>
      <c r="L138" s="9">
        <v>12000</v>
      </c>
      <c r="M138" s="9">
        <f t="shared" si="2"/>
        <v>2000</v>
      </c>
      <c r="N138" s="9"/>
      <c r="O138" s="9"/>
      <c r="P138" s="9"/>
      <c r="Q138" s="9"/>
      <c r="R138" s="9"/>
      <c r="S138" s="9"/>
      <c r="T138" s="9"/>
      <c r="U138" s="13">
        <f t="shared" si="3"/>
        <v>0</v>
      </c>
      <c r="V138" s="13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spans="1:34" ht="30.75" customHeight="1" x14ac:dyDescent="0.2">
      <c r="A139" s="8">
        <f t="shared" si="4"/>
        <v>136</v>
      </c>
      <c r="B139" s="9"/>
      <c r="C139" s="9" t="s">
        <v>192</v>
      </c>
      <c r="D139" s="10">
        <f>VLOOKUP(C139,Data!$B$2:$G$176,3,FALSE)</f>
        <v>0</v>
      </c>
      <c r="E139" s="11" t="str">
        <f>VLOOKUP(C139,Data!$B$2:$G$176,4,FALSE)</f>
        <v/>
      </c>
      <c r="F139" s="10" t="str">
        <f>VLOOKUP(C139,Data!$B$2:$G$176,5,FALSE)</f>
        <v>Edukki</v>
      </c>
      <c r="G139" s="9" t="str">
        <f>VLOOKUP(C139,Data!$B$2:$G$176,6,FALSE)</f>
        <v/>
      </c>
      <c r="H139" s="9" t="s">
        <v>188</v>
      </c>
      <c r="I139" s="10"/>
      <c r="J139" s="8">
        <f t="shared" si="1"/>
        <v>18000</v>
      </c>
      <c r="K139" s="8">
        <v>16000</v>
      </c>
      <c r="L139" s="9">
        <v>12000</v>
      </c>
      <c r="M139" s="9">
        <f t="shared" si="2"/>
        <v>2000</v>
      </c>
      <c r="N139" s="9"/>
      <c r="O139" s="9"/>
      <c r="P139" s="9"/>
      <c r="Q139" s="9"/>
      <c r="R139" s="9"/>
      <c r="S139" s="9"/>
      <c r="T139" s="9"/>
      <c r="U139" s="13">
        <f t="shared" si="3"/>
        <v>0</v>
      </c>
      <c r="V139" s="13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4" ht="30.75" customHeight="1" x14ac:dyDescent="0.2">
      <c r="A140" s="8">
        <f t="shared" si="4"/>
        <v>137</v>
      </c>
      <c r="B140" s="9"/>
      <c r="C140" s="9" t="s">
        <v>193</v>
      </c>
      <c r="D140" s="10" t="str">
        <f>VLOOKUP(C140,Data!$B$2:$G$176,3,FALSE)</f>
        <v>MUJEEB</v>
      </c>
      <c r="E140" s="11" t="str">
        <f>VLOOKUP(C140,Data!$B$2:$G$176,4,FALSE)</f>
        <v xml:space="preserve">Puthusseri (h)
Pulingottupuram 
Amayoor po Thrikalangode  Malappuram </v>
      </c>
      <c r="F140" s="10" t="str">
        <f>VLOOKUP(C140,Data!$B$2:$G$176,5,FALSE)</f>
        <v>Malappuram</v>
      </c>
      <c r="G140" s="9" t="str">
        <f>VLOOKUP(C140,Data!$B$2:$G$176,6,FALSE)</f>
        <v>9048475509</v>
      </c>
      <c r="H140" s="9" t="s">
        <v>188</v>
      </c>
      <c r="I140" s="10"/>
      <c r="J140" s="8">
        <f t="shared" si="1"/>
        <v>8000</v>
      </c>
      <c r="K140" s="8">
        <v>6000</v>
      </c>
      <c r="L140" s="9">
        <v>12000</v>
      </c>
      <c r="M140" s="9">
        <f t="shared" si="2"/>
        <v>2000</v>
      </c>
      <c r="N140" s="9"/>
      <c r="O140" s="9"/>
      <c r="P140" s="9"/>
      <c r="Q140" s="9"/>
      <c r="R140" s="9"/>
      <c r="S140" s="9"/>
      <c r="T140" s="9"/>
      <c r="U140" s="13">
        <f t="shared" si="3"/>
        <v>0</v>
      </c>
      <c r="V140" s="13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1:34" ht="30.75" customHeight="1" x14ac:dyDescent="0.2">
      <c r="A141" s="8">
        <f t="shared" si="4"/>
        <v>138</v>
      </c>
      <c r="B141" s="9"/>
      <c r="C141" s="9" t="s">
        <v>194</v>
      </c>
      <c r="D141" s="10" t="str">
        <f>VLOOKUP(C141,Data!$B$2:$G$176,3,FALSE)</f>
        <v>ABOOBACKAR P. K</v>
      </c>
      <c r="E141" s="11" t="str">
        <f>VLOOKUP(C141,Data!$B$2:$G$176,4,FALSE)</f>
        <v>Purayankkottummal (ho)
Thandorappara (po)
Kayanna (vi)
Kozhikode
673527 Koothali Kozhikode</v>
      </c>
      <c r="F141" s="10" t="str">
        <f>VLOOKUP(C141,Data!$B$2:$G$176,5,FALSE)</f>
        <v>Kozhikkode</v>
      </c>
      <c r="G141" s="9" t="str">
        <f>VLOOKUP(C141,Data!$B$2:$G$176,6,FALSE)</f>
        <v>9656291494</v>
      </c>
      <c r="H141" s="9" t="s">
        <v>188</v>
      </c>
      <c r="I141" s="10"/>
      <c r="J141" s="8">
        <f t="shared" si="1"/>
        <v>5000</v>
      </c>
      <c r="K141" s="8">
        <v>3000</v>
      </c>
      <c r="L141" s="9">
        <v>12000</v>
      </c>
      <c r="M141" s="9">
        <f t="shared" si="2"/>
        <v>2000</v>
      </c>
      <c r="N141" s="9"/>
      <c r="O141" s="9"/>
      <c r="P141" s="9"/>
      <c r="Q141" s="9"/>
      <c r="R141" s="9"/>
      <c r="S141" s="9"/>
      <c r="T141" s="9"/>
      <c r="U141" s="13">
        <f t="shared" si="3"/>
        <v>0</v>
      </c>
      <c r="V141" s="13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 ht="30.75" customHeight="1" x14ac:dyDescent="0.2">
      <c r="A142" s="8">
        <f t="shared" si="4"/>
        <v>139</v>
      </c>
      <c r="B142" s="9"/>
      <c r="C142" s="9" t="s">
        <v>195</v>
      </c>
      <c r="D142" s="10" t="str">
        <f>VLOOKUP(C142,Data!$B$2:$G$176,3,FALSE)</f>
        <v xml:space="preserve">ISMAIL KUNNATH </v>
      </c>
      <c r="E142" s="11" t="str">
        <f>VLOOKUP(C142,Data!$B$2:$G$176,4,FALSE)</f>
        <v xml:space="preserve">VELLUR (PO) KUNNATH (H) MALAPPURAM POOKOOTTUR PANCHAYATH  Malappuram </v>
      </c>
      <c r="F142" s="10" t="str">
        <f>VLOOKUP(C142,Data!$B$2:$G$176,5,FALSE)</f>
        <v>Malappuram</v>
      </c>
      <c r="G142" s="9" t="str">
        <f>VLOOKUP(C142,Data!$B$2:$G$176,6,FALSE)</f>
        <v>9526538002</v>
      </c>
      <c r="H142" s="9" t="s">
        <v>188</v>
      </c>
      <c r="I142" s="10"/>
      <c r="J142" s="8">
        <f t="shared" si="1"/>
        <v>8000</v>
      </c>
      <c r="K142" s="8">
        <v>6000</v>
      </c>
      <c r="L142" s="9">
        <v>12000</v>
      </c>
      <c r="M142" s="9">
        <f t="shared" si="2"/>
        <v>2000</v>
      </c>
      <c r="N142" s="9"/>
      <c r="O142" s="9"/>
      <c r="P142" s="9"/>
      <c r="Q142" s="9"/>
      <c r="R142" s="9"/>
      <c r="S142" s="9"/>
      <c r="T142" s="9"/>
      <c r="U142" s="13">
        <f t="shared" si="3"/>
        <v>0</v>
      </c>
      <c r="V142" s="13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4" ht="30.75" customHeight="1" x14ac:dyDescent="0.2">
      <c r="A143" s="8">
        <f t="shared" si="4"/>
        <v>140</v>
      </c>
      <c r="B143" s="9"/>
      <c r="C143" s="9" t="s">
        <v>196</v>
      </c>
      <c r="D143" s="10">
        <f>VLOOKUP(C143,Data!$B$2:$G$176,3,FALSE)</f>
        <v>0</v>
      </c>
      <c r="E143" s="11" t="str">
        <f>VLOOKUP(C143,Data!$B$2:$G$176,4,FALSE)</f>
        <v/>
      </c>
      <c r="F143" s="10">
        <f>VLOOKUP(C143,Data!$B$2:$G$176,5,FALSE)</f>
        <v>0</v>
      </c>
      <c r="G143" s="9" t="str">
        <f>VLOOKUP(C143,Data!$B$2:$G$176,6,FALSE)</f>
        <v/>
      </c>
      <c r="H143" s="9" t="s">
        <v>188</v>
      </c>
      <c r="I143" s="10"/>
      <c r="J143" s="8">
        <f t="shared" si="1"/>
        <v>12000</v>
      </c>
      <c r="K143" s="8">
        <v>10000</v>
      </c>
      <c r="L143" s="9">
        <v>12000</v>
      </c>
      <c r="M143" s="9">
        <f t="shared" si="2"/>
        <v>2000</v>
      </c>
      <c r="N143" s="9"/>
      <c r="O143" s="9"/>
      <c r="P143" s="9"/>
      <c r="Q143" s="9"/>
      <c r="R143" s="9"/>
      <c r="S143" s="9"/>
      <c r="T143" s="9"/>
      <c r="U143" s="13">
        <f t="shared" si="3"/>
        <v>0</v>
      </c>
      <c r="V143" s="13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 ht="30.75" customHeight="1" x14ac:dyDescent="0.2">
      <c r="A144" s="8">
        <f t="shared" si="4"/>
        <v>141</v>
      </c>
      <c r="B144" s="9"/>
      <c r="C144" s="9" t="s">
        <v>197</v>
      </c>
      <c r="D144" s="10" t="str">
        <f>VLOOKUP(C144,Data!$B$2:$G$176,3,FALSE)</f>
        <v>MUHAMMED A A</v>
      </c>
      <c r="E144" s="11" t="str">
        <f>VLOOKUP(C144,Data!$B$2:$G$176,4,FALSE)</f>
        <v xml:space="preserve">Attukandathil house pazhunnana Chemmanthatta Thrissur </v>
      </c>
      <c r="F144" s="10" t="str">
        <f>VLOOKUP(C144,Data!$B$2:$G$176,5,FALSE)</f>
        <v>Thrissur</v>
      </c>
      <c r="G144" s="9" t="str">
        <f>VLOOKUP(C144,Data!$B$2:$G$176,6,FALSE)</f>
        <v>8943276795</v>
      </c>
      <c r="H144" s="9" t="s">
        <v>188</v>
      </c>
      <c r="I144" s="10"/>
      <c r="J144" s="8">
        <f t="shared" si="1"/>
        <v>4000</v>
      </c>
      <c r="K144" s="8">
        <v>2000</v>
      </c>
      <c r="L144" s="9">
        <v>12000</v>
      </c>
      <c r="M144" s="9">
        <f t="shared" si="2"/>
        <v>2000</v>
      </c>
      <c r="N144" s="9"/>
      <c r="O144" s="9"/>
      <c r="P144" s="9"/>
      <c r="Q144" s="9"/>
      <c r="R144" s="9"/>
      <c r="S144" s="9"/>
      <c r="T144" s="9"/>
      <c r="U144" s="13">
        <f t="shared" si="3"/>
        <v>0</v>
      </c>
      <c r="V144" s="13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 ht="30.75" customHeight="1" x14ac:dyDescent="0.2">
      <c r="A145" s="8">
        <f t="shared" si="4"/>
        <v>142</v>
      </c>
      <c r="B145" s="9"/>
      <c r="C145" s="9" t="s">
        <v>198</v>
      </c>
      <c r="D145" s="10">
        <f>VLOOKUP(C145,Data!$B$2:$G$176,3,FALSE)</f>
        <v>0</v>
      </c>
      <c r="E145" s="11" t="str">
        <f>VLOOKUP(C145,Data!$B$2:$G$176,4,FALSE)</f>
        <v/>
      </c>
      <c r="F145" s="10">
        <f>VLOOKUP(C145,Data!$B$2:$G$176,5,FALSE)</f>
        <v>0</v>
      </c>
      <c r="G145" s="9" t="str">
        <f>VLOOKUP(C145,Data!$B$2:$G$176,6,FALSE)</f>
        <v/>
      </c>
      <c r="H145" s="9" t="s">
        <v>188</v>
      </c>
      <c r="I145" s="10"/>
      <c r="J145" s="8">
        <f t="shared" si="1"/>
        <v>6000</v>
      </c>
      <c r="K145" s="8">
        <v>4000</v>
      </c>
      <c r="L145" s="9">
        <v>12000</v>
      </c>
      <c r="M145" s="9">
        <f t="shared" si="2"/>
        <v>2000</v>
      </c>
      <c r="N145" s="9"/>
      <c r="O145" s="9"/>
      <c r="P145" s="9"/>
      <c r="Q145" s="9"/>
      <c r="R145" s="9"/>
      <c r="S145" s="9"/>
      <c r="T145" s="9"/>
      <c r="U145" s="13">
        <f t="shared" si="3"/>
        <v>0</v>
      </c>
      <c r="V145" s="13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ht="30.75" customHeight="1" x14ac:dyDescent="0.2">
      <c r="A146" s="8">
        <f t="shared" si="4"/>
        <v>143</v>
      </c>
      <c r="B146" s="9"/>
      <c r="C146" s="9" t="s">
        <v>199</v>
      </c>
      <c r="D146" s="10" t="str">
        <f>VLOOKUP(C146,Data!$B$2:$G$176,3,FALSE)</f>
        <v>BIJU S P</v>
      </c>
      <c r="E146" s="11" t="str">
        <f>VLOOKUP(C146,Data!$B$2:$G$176,4,FALSE)</f>
        <v>Gandhinagar junction chullimanoor PO7736292196</v>
      </c>
      <c r="F146" s="10" t="str">
        <f>VLOOKUP(C146,Data!$B$2:$G$176,5,FALSE)</f>
        <v>Thiruvanadapuram</v>
      </c>
      <c r="G146" s="9" t="str">
        <f>VLOOKUP(C146,Data!$B$2:$G$176,6,FALSE)</f>
        <v>7736292196</v>
      </c>
      <c r="H146" s="9" t="s">
        <v>200</v>
      </c>
      <c r="I146" s="10"/>
      <c r="J146" s="8">
        <f t="shared" si="1"/>
        <v>46000</v>
      </c>
      <c r="K146" s="8">
        <v>44000</v>
      </c>
      <c r="L146" s="9">
        <v>12000</v>
      </c>
      <c r="M146" s="9">
        <f t="shared" si="2"/>
        <v>2000</v>
      </c>
      <c r="N146" s="9"/>
      <c r="O146" s="9"/>
      <c r="P146" s="9"/>
      <c r="Q146" s="9"/>
      <c r="R146" s="9"/>
      <c r="S146" s="9"/>
      <c r="T146" s="9"/>
      <c r="U146" s="13">
        <f t="shared" si="3"/>
        <v>0</v>
      </c>
      <c r="V146" s="13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spans="1:34" ht="30.75" customHeight="1" x14ac:dyDescent="0.2">
      <c r="A147" s="8">
        <f t="shared" si="4"/>
        <v>144</v>
      </c>
      <c r="B147" s="9"/>
      <c r="C147" s="9" t="s">
        <v>201</v>
      </c>
      <c r="D147" s="10" t="str">
        <f>VLOOKUP(C147,Data!$B$2:$G$176,3,FALSE)</f>
        <v>MUEENUDDEEN</v>
      </c>
      <c r="E147" s="11" t="str">
        <f>VLOOKUP(C147,Data!$B$2:$G$176,4,FALSE)</f>
        <v xml:space="preserve">Cheriya Parambath Muthuvadathoor PO Kozhikode </v>
      </c>
      <c r="F147" s="10" t="str">
        <f>VLOOKUP(C147,Data!$B$2:$G$176,5,FALSE)</f>
        <v>Kozhikkode</v>
      </c>
      <c r="G147" s="9" t="str">
        <f>VLOOKUP(C147,Data!$B$2:$G$176,6,FALSE)</f>
        <v>9072300000</v>
      </c>
      <c r="H147" s="9" t="s">
        <v>200</v>
      </c>
      <c r="I147" s="10"/>
      <c r="J147" s="8">
        <f t="shared" si="1"/>
        <v>10000</v>
      </c>
      <c r="K147" s="8">
        <v>8000</v>
      </c>
      <c r="L147" s="9">
        <v>12000</v>
      </c>
      <c r="M147" s="9">
        <f t="shared" si="2"/>
        <v>2000</v>
      </c>
      <c r="N147" s="9"/>
      <c r="O147" s="9"/>
      <c r="P147" s="9"/>
      <c r="Q147" s="9"/>
      <c r="R147" s="9"/>
      <c r="S147" s="9"/>
      <c r="T147" s="9"/>
      <c r="U147" s="13">
        <f t="shared" si="3"/>
        <v>0</v>
      </c>
      <c r="V147" s="13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ht="30.75" customHeight="1" x14ac:dyDescent="0.2">
      <c r="A148" s="8">
        <f t="shared" si="4"/>
        <v>145</v>
      </c>
      <c r="B148" s="9"/>
      <c r="C148" s="9" t="s">
        <v>202</v>
      </c>
      <c r="D148" s="10" t="str">
        <f>VLOOKUP(C148,Data!$B$2:$G$176,3,FALSE)</f>
        <v>MUHAMMED ASHARAF V K</v>
      </c>
      <c r="E148" s="11" t="str">
        <f>VLOOKUP(C148,Data!$B$2:$G$176,4,FALSE)</f>
        <v>Vadavanakudy House Ponjassery PO Hidayath Nagar Perumbavoor  Eranakulam68354795394855378943800000</v>
      </c>
      <c r="F148" s="10" t="str">
        <f>VLOOKUP(C148,Data!$B$2:$G$176,5,FALSE)</f>
        <v>Eranamkulam</v>
      </c>
      <c r="G148" s="9" t="str">
        <f>VLOOKUP(C148,Data!$B$2:$G$176,6,FALSE)</f>
        <v>8943800000</v>
      </c>
      <c r="H148" s="9" t="s">
        <v>200</v>
      </c>
      <c r="I148" s="10"/>
      <c r="J148" s="8">
        <f t="shared" si="1"/>
        <v>14000</v>
      </c>
      <c r="K148" s="8">
        <v>12000</v>
      </c>
      <c r="L148" s="9">
        <v>12000</v>
      </c>
      <c r="M148" s="9">
        <f t="shared" si="2"/>
        <v>2000</v>
      </c>
      <c r="N148" s="9"/>
      <c r="O148" s="9"/>
      <c r="P148" s="9"/>
      <c r="Q148" s="9"/>
      <c r="R148" s="9"/>
      <c r="S148" s="9"/>
      <c r="T148" s="9"/>
      <c r="U148" s="13">
        <f t="shared" si="3"/>
        <v>0</v>
      </c>
      <c r="V148" s="13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spans="1:34" ht="30.75" customHeight="1" x14ac:dyDescent="0.2">
      <c r="A149" s="8">
        <f t="shared" si="4"/>
        <v>146</v>
      </c>
      <c r="B149" s="9"/>
      <c r="C149" s="9" t="s">
        <v>203</v>
      </c>
      <c r="D149" s="10" t="str">
        <f>VLOOKUP(C149,Data!$B$2:$G$176,3,FALSE)</f>
        <v>MUNIR.M</v>
      </c>
      <c r="E149" s="11" t="str">
        <f>VLOOKUP(C149,Data!$B$2:$G$176,4,FALSE)</f>
        <v>Kottakkara Vadakkadil ManappallyPO Karunagappallykollam8714910688</v>
      </c>
      <c r="F149" s="10" t="str">
        <f>VLOOKUP(C149,Data!$B$2:$G$176,5,FALSE)</f>
        <v>Kollam</v>
      </c>
      <c r="G149" s="9" t="str">
        <f>VLOOKUP(C149,Data!$B$2:$G$176,6,FALSE)</f>
        <v>8714910688</v>
      </c>
      <c r="H149" s="9" t="s">
        <v>200</v>
      </c>
      <c r="I149" s="10"/>
      <c r="J149" s="8">
        <f t="shared" si="1"/>
        <v>2000</v>
      </c>
      <c r="K149" s="8">
        <v>0</v>
      </c>
      <c r="L149" s="9">
        <v>12000</v>
      </c>
      <c r="M149" s="9">
        <f t="shared" si="2"/>
        <v>2000</v>
      </c>
      <c r="N149" s="9"/>
      <c r="O149" s="9"/>
      <c r="P149" s="9"/>
      <c r="Q149" s="9"/>
      <c r="R149" s="9"/>
      <c r="S149" s="9"/>
      <c r="T149" s="9"/>
      <c r="U149" s="13">
        <f t="shared" si="3"/>
        <v>0</v>
      </c>
      <c r="V149" s="13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ht="30.75" customHeight="1" x14ac:dyDescent="0.2">
      <c r="A150" s="8">
        <f t="shared" si="4"/>
        <v>147</v>
      </c>
      <c r="B150" s="9"/>
      <c r="C150" s="9" t="s">
        <v>204</v>
      </c>
      <c r="D150" s="10" t="str">
        <f>VLOOKUP(C150,Data!$B$2:$G$176,3,FALSE)</f>
        <v>MUHAMMED ANVAR</v>
      </c>
      <c r="E150" s="11">
        <f>VLOOKUP(C150,Data!$B$2:$G$176,4,FALSE)</f>
        <v>0</v>
      </c>
      <c r="F150" s="10">
        <f>VLOOKUP(C150,Data!$B$2:$G$176,5,FALSE)</f>
        <v>0</v>
      </c>
      <c r="G150" s="9" t="str">
        <f>VLOOKUP(C150,Data!$B$2:$G$176,6,FALSE)</f>
        <v>8593847672</v>
      </c>
      <c r="H150" s="9" t="s">
        <v>200</v>
      </c>
      <c r="I150" s="10"/>
      <c r="J150" s="8">
        <f t="shared" si="1"/>
        <v>21000</v>
      </c>
      <c r="K150" s="8">
        <v>19000</v>
      </c>
      <c r="L150" s="9">
        <v>12000</v>
      </c>
      <c r="M150" s="9">
        <f t="shared" si="2"/>
        <v>2000</v>
      </c>
      <c r="N150" s="9"/>
      <c r="O150" s="9"/>
      <c r="P150" s="9"/>
      <c r="Q150" s="9"/>
      <c r="R150" s="9"/>
      <c r="S150" s="9"/>
      <c r="T150" s="9"/>
      <c r="U150" s="13">
        <f t="shared" si="3"/>
        <v>0</v>
      </c>
      <c r="V150" s="13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spans="1:34" ht="30.75" customHeight="1" x14ac:dyDescent="0.2">
      <c r="A151" s="8">
        <f t="shared" si="4"/>
        <v>148</v>
      </c>
      <c r="B151" s="9"/>
      <c r="C151" s="9" t="s">
        <v>205</v>
      </c>
      <c r="D151" s="10" t="str">
        <f>VLOOKUP(C151,Data!$B$2:$G$176,3,FALSE)</f>
        <v>ABDUL MAJEED K K</v>
      </c>
      <c r="E151" s="11" t="str">
        <f>VLOOKUP(C151,Data!$B$2:$G$176,4,FALSE)</f>
        <v>Vattapparakkal (H) karuvanpoyil (p.o) koduvally 9539350360</v>
      </c>
      <c r="F151" s="10" t="str">
        <f>VLOOKUP(C151,Data!$B$2:$G$176,5,FALSE)</f>
        <v>Kozhikkode</v>
      </c>
      <c r="G151" s="9" t="str">
        <f>VLOOKUP(C151,Data!$B$2:$G$176,6,FALSE)</f>
        <v>9539350360</v>
      </c>
      <c r="H151" s="9" t="s">
        <v>200</v>
      </c>
      <c r="I151" s="10"/>
      <c r="J151" s="8">
        <f t="shared" si="1"/>
        <v>6000</v>
      </c>
      <c r="K151" s="8">
        <v>4000</v>
      </c>
      <c r="L151" s="9">
        <v>12000</v>
      </c>
      <c r="M151" s="9">
        <f t="shared" si="2"/>
        <v>2000</v>
      </c>
      <c r="N151" s="9"/>
      <c r="O151" s="9"/>
      <c r="P151" s="9"/>
      <c r="Q151" s="9"/>
      <c r="R151" s="9"/>
      <c r="S151" s="9"/>
      <c r="T151" s="9"/>
      <c r="U151" s="13">
        <f t="shared" si="3"/>
        <v>0</v>
      </c>
      <c r="V151" s="13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ht="30.75" customHeight="1" x14ac:dyDescent="0.2">
      <c r="A152" s="8">
        <f t="shared" si="4"/>
        <v>149</v>
      </c>
      <c r="B152" s="9"/>
      <c r="C152" s="9" t="s">
        <v>206</v>
      </c>
      <c r="D152" s="10" t="str">
        <f>VLOOKUP(C152,Data!$B$2:$G$176,3,FALSE)</f>
        <v>ABDUL BASHEER M T</v>
      </c>
      <c r="E152" s="11" t="str">
        <f>VLOOKUP(C152,Data!$B$2:$G$176,4,FALSE)</f>
        <v>ThirumangalamKunnaramvelliMoolad P.O Naduvannur via 673614</v>
      </c>
      <c r="F152" s="10" t="str">
        <f>VLOOKUP(C152,Data!$B$2:$G$176,5,FALSE)</f>
        <v>Kozhikkode</v>
      </c>
      <c r="G152" s="9" t="str">
        <f>VLOOKUP(C152,Data!$B$2:$G$176,6,FALSE)</f>
        <v>9946501154</v>
      </c>
      <c r="H152" s="9" t="s">
        <v>200</v>
      </c>
      <c r="I152" s="10"/>
      <c r="J152" s="8">
        <f t="shared" si="1"/>
        <v>4000</v>
      </c>
      <c r="K152" s="8">
        <v>2000</v>
      </c>
      <c r="L152" s="9">
        <v>12000</v>
      </c>
      <c r="M152" s="9">
        <f t="shared" si="2"/>
        <v>2000</v>
      </c>
      <c r="N152" s="9"/>
      <c r="O152" s="9"/>
      <c r="P152" s="9"/>
      <c r="Q152" s="9"/>
      <c r="R152" s="9"/>
      <c r="S152" s="9"/>
      <c r="T152" s="9"/>
      <c r="U152" s="13">
        <f t="shared" si="3"/>
        <v>0</v>
      </c>
      <c r="V152" s="13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spans="1:34" ht="30.75" customHeight="1" x14ac:dyDescent="0.2">
      <c r="A153" s="8">
        <f t="shared" si="4"/>
        <v>150</v>
      </c>
      <c r="B153" s="9"/>
      <c r="C153" s="9" t="s">
        <v>207</v>
      </c>
      <c r="D153" s="10" t="str">
        <f>VLOOKUP(C153,Data!$B$2:$G$176,3,FALSE)</f>
        <v>MUHAMMED RIYAS</v>
      </c>
      <c r="E153" s="11" t="str">
        <f>VLOOKUP(C153,Data!$B$2:$G$176,4,FALSE)</f>
        <v>Kizhakkanadan
Karinkallathani/perinthalmanna 9510417901</v>
      </c>
      <c r="F153" s="10" t="str">
        <f>VLOOKUP(C153,Data!$B$2:$G$176,5,FALSE)</f>
        <v>Malappuram</v>
      </c>
      <c r="G153" s="9" t="str">
        <f>VLOOKUP(C153,Data!$B$2:$G$176,6,FALSE)</f>
        <v>9510417901</v>
      </c>
      <c r="H153" s="9" t="s">
        <v>200</v>
      </c>
      <c r="I153" s="10"/>
      <c r="J153" s="8">
        <f t="shared" si="1"/>
        <v>4000</v>
      </c>
      <c r="K153" s="8">
        <v>2000</v>
      </c>
      <c r="L153" s="9">
        <v>12000</v>
      </c>
      <c r="M153" s="9">
        <f t="shared" si="2"/>
        <v>2000</v>
      </c>
      <c r="N153" s="9"/>
      <c r="O153" s="9"/>
      <c r="P153" s="9"/>
      <c r="Q153" s="9"/>
      <c r="R153" s="9"/>
      <c r="S153" s="9"/>
      <c r="T153" s="9"/>
      <c r="U153" s="13">
        <f t="shared" si="3"/>
        <v>0</v>
      </c>
      <c r="V153" s="13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spans="1:34" ht="30.75" customHeight="1" x14ac:dyDescent="0.2">
      <c r="A154" s="8">
        <f t="shared" si="4"/>
        <v>151</v>
      </c>
      <c r="B154" s="9"/>
      <c r="C154" s="9" t="s">
        <v>208</v>
      </c>
      <c r="D154" s="10" t="str">
        <f>VLOOKUP(C154,Data!$B$2:$G$176,3,FALSE)</f>
        <v xml:space="preserve">YOUSAF </v>
      </c>
      <c r="E154" s="11" t="str">
        <f>VLOOKUP(C154,Data!$B$2:$G$176,4,FALSE)</f>
        <v>Kondoorkkara Thodi H Karakad Kondoorkkara PO</v>
      </c>
      <c r="F154" s="10" t="str">
        <f>VLOOKUP(C154,Data!$B$2:$G$176,5,FALSE)</f>
        <v>Palakkad</v>
      </c>
      <c r="G154" s="9" t="str">
        <f>VLOOKUP(C154,Data!$B$2:$G$176,6,FALSE)</f>
        <v>9745905408</v>
      </c>
      <c r="H154" s="9" t="s">
        <v>200</v>
      </c>
      <c r="I154" s="10"/>
      <c r="J154" s="8">
        <f t="shared" si="1"/>
        <v>14000</v>
      </c>
      <c r="K154" s="8">
        <v>12000</v>
      </c>
      <c r="L154" s="9">
        <v>12000</v>
      </c>
      <c r="M154" s="9">
        <f t="shared" si="2"/>
        <v>2000</v>
      </c>
      <c r="N154" s="9"/>
      <c r="O154" s="9"/>
      <c r="P154" s="9"/>
      <c r="Q154" s="9"/>
      <c r="R154" s="9"/>
      <c r="S154" s="9"/>
      <c r="T154" s="9"/>
      <c r="U154" s="13">
        <f t="shared" si="3"/>
        <v>0</v>
      </c>
      <c r="V154" s="13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spans="1:34" ht="30.75" customHeight="1" x14ac:dyDescent="0.2">
      <c r="A155" s="8">
        <f t="shared" si="4"/>
        <v>152</v>
      </c>
      <c r="B155" s="9"/>
      <c r="C155" s="9" t="s">
        <v>209</v>
      </c>
      <c r="D155" s="10" t="str">
        <f>VLOOKUP(C155,Data!$B$2:$G$176,3,FALSE)</f>
        <v>ABOOBACKER NK</v>
      </c>
      <c r="E155" s="11" t="str">
        <f>VLOOKUP(C155,Data!$B$2:$G$176,4,FALSE)</f>
        <v>Naduvath kalathil Kadappuram mottammal kaattilanghadi PO</v>
      </c>
      <c r="F155" s="10" t="str">
        <f>VLOOKUP(C155,Data!$B$2:$G$176,5,FALSE)</f>
        <v>Malappuram</v>
      </c>
      <c r="G155" s="9" t="str">
        <f>VLOOKUP(C155,Data!$B$2:$G$176,6,FALSE)</f>
        <v>8921510371</v>
      </c>
      <c r="H155" s="9" t="s">
        <v>200</v>
      </c>
      <c r="I155" s="10"/>
      <c r="J155" s="8">
        <f t="shared" si="1"/>
        <v>3000</v>
      </c>
      <c r="K155" s="8">
        <v>1000</v>
      </c>
      <c r="L155" s="9">
        <v>12000</v>
      </c>
      <c r="M155" s="9">
        <f t="shared" si="2"/>
        <v>2000</v>
      </c>
      <c r="N155" s="9"/>
      <c r="O155" s="9"/>
      <c r="P155" s="9"/>
      <c r="Q155" s="9"/>
      <c r="R155" s="9"/>
      <c r="S155" s="9"/>
      <c r="T155" s="9"/>
      <c r="U155" s="13">
        <f t="shared" si="3"/>
        <v>0</v>
      </c>
      <c r="V155" s="13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spans="1:34" ht="30.75" customHeight="1" x14ac:dyDescent="0.2">
      <c r="A156" s="8">
        <f t="shared" si="4"/>
        <v>153</v>
      </c>
      <c r="B156" s="9"/>
      <c r="C156" s="9" t="s">
        <v>210</v>
      </c>
      <c r="D156" s="10" t="str">
        <f>VLOOKUP(C156,Data!$B$2:$G$176,3,FALSE)</f>
        <v>AYOOB K M</v>
      </c>
      <c r="E156" s="11" t="str">
        <f>VLOOKUP(C156,Data!$B$2:$G$176,4,FALSE)</f>
        <v>kmayoob949@gmail.com9778191206</v>
      </c>
      <c r="F156" s="10">
        <f>VLOOKUP(C156,Data!$B$2:$G$176,5,FALSE)</f>
        <v>0</v>
      </c>
      <c r="G156" s="9" t="str">
        <f>VLOOKUP(C156,Data!$B$2:$G$176,6,FALSE)</f>
        <v>9778191206</v>
      </c>
      <c r="H156" s="9" t="s">
        <v>200</v>
      </c>
      <c r="I156" s="10"/>
      <c r="J156" s="8">
        <f t="shared" si="1"/>
        <v>6000</v>
      </c>
      <c r="K156" s="8">
        <v>4000</v>
      </c>
      <c r="L156" s="9">
        <v>12000</v>
      </c>
      <c r="M156" s="9">
        <f t="shared" si="2"/>
        <v>2000</v>
      </c>
      <c r="N156" s="9"/>
      <c r="O156" s="9"/>
      <c r="P156" s="9"/>
      <c r="Q156" s="9"/>
      <c r="R156" s="9"/>
      <c r="S156" s="9"/>
      <c r="T156" s="9"/>
      <c r="U156" s="13">
        <f t="shared" si="3"/>
        <v>0</v>
      </c>
      <c r="V156" s="13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spans="1:34" ht="30.75" customHeight="1" x14ac:dyDescent="0.2">
      <c r="A157" s="8">
        <f t="shared" si="4"/>
        <v>154</v>
      </c>
      <c r="B157" s="9"/>
      <c r="C157" s="9" t="s">
        <v>211</v>
      </c>
      <c r="D157" s="10" t="str">
        <f>VLOOKUP(C157,Data!$B$2:$G$176,3,FALSE)</f>
        <v xml:space="preserve">ABSAR KHAN </v>
      </c>
      <c r="E157" s="11" t="str">
        <f>VLOOKUP(C157,Data!$B$2:$G$176,4,FALSE)</f>
        <v>Thiruvananthapuram Beemapally 7356367580</v>
      </c>
      <c r="F157" s="10" t="str">
        <f>VLOOKUP(C157,Data!$B$2:$G$176,5,FALSE)</f>
        <v>Thiruvanadapuram</v>
      </c>
      <c r="G157" s="9" t="str">
        <f>VLOOKUP(C157,Data!$B$2:$G$176,6,FALSE)</f>
        <v>7356367580</v>
      </c>
      <c r="H157" s="9" t="s">
        <v>200</v>
      </c>
      <c r="I157" s="10"/>
      <c r="J157" s="8">
        <f t="shared" si="1"/>
        <v>6000</v>
      </c>
      <c r="K157" s="8">
        <v>4000</v>
      </c>
      <c r="L157" s="9">
        <v>12000</v>
      </c>
      <c r="M157" s="9">
        <f t="shared" si="2"/>
        <v>2000</v>
      </c>
      <c r="N157" s="9"/>
      <c r="O157" s="9"/>
      <c r="P157" s="9"/>
      <c r="Q157" s="9"/>
      <c r="R157" s="9"/>
      <c r="S157" s="9"/>
      <c r="T157" s="9"/>
      <c r="U157" s="13">
        <f t="shared" si="3"/>
        <v>0</v>
      </c>
      <c r="V157" s="13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spans="1:34" ht="30.75" customHeight="1" x14ac:dyDescent="0.2">
      <c r="A158" s="8">
        <f t="shared" si="4"/>
        <v>155</v>
      </c>
      <c r="B158" s="9"/>
      <c r="C158" s="9" t="s">
        <v>212</v>
      </c>
      <c r="D158" s="10" t="str">
        <f>VLOOKUP(C158,Data!$B$2:$G$176,3,FALSE)</f>
        <v>NOWSHAD S</v>
      </c>
      <c r="E158" s="11" t="str">
        <f>VLOOKUP(C158,Data!$B$2:$G$176,4,FALSE)</f>
        <v>Palathinte Kizhakkathil Thaleeradi kaduvinal P.O vallikunnam7306819118</v>
      </c>
      <c r="F158" s="10" t="str">
        <f>VLOOKUP(C158,Data!$B$2:$G$176,5,FALSE)</f>
        <v>Alappuzha</v>
      </c>
      <c r="G158" s="9" t="str">
        <f>VLOOKUP(C158,Data!$B$2:$G$176,6,FALSE)</f>
        <v>7306819118</v>
      </c>
      <c r="H158" s="9" t="s">
        <v>200</v>
      </c>
      <c r="I158" s="10"/>
      <c r="J158" s="8">
        <f t="shared" si="1"/>
        <v>-16000</v>
      </c>
      <c r="K158" s="8">
        <v>-18000</v>
      </c>
      <c r="L158" s="9">
        <v>12000</v>
      </c>
      <c r="M158" s="9">
        <f t="shared" si="2"/>
        <v>2000</v>
      </c>
      <c r="N158" s="9"/>
      <c r="O158" s="9"/>
      <c r="P158" s="9"/>
      <c r="Q158" s="9"/>
      <c r="R158" s="9"/>
      <c r="S158" s="9"/>
      <c r="T158" s="9"/>
      <c r="U158" s="13">
        <f t="shared" si="3"/>
        <v>0</v>
      </c>
      <c r="V158" s="13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 spans="1:34" ht="30.75" customHeight="1" x14ac:dyDescent="0.2">
      <c r="A159" s="8">
        <f t="shared" si="4"/>
        <v>156</v>
      </c>
      <c r="B159" s="9"/>
      <c r="C159" s="9" t="s">
        <v>213</v>
      </c>
      <c r="D159" s="10" t="str">
        <f>VLOOKUP(C159,Data!$B$2:$G$176,3,FALSE)</f>
        <v>SHAJAN K B</v>
      </c>
      <c r="E159" s="11" t="str">
        <f>VLOOKUP(C159,Data!$B$2:$G$176,4,FALSE)</f>
        <v>Kaniyamparambil H 
Kattappana P O Idukki 85900693569496495317</v>
      </c>
      <c r="F159" s="10" t="str">
        <f>VLOOKUP(C159,Data!$B$2:$G$176,5,FALSE)</f>
        <v>Idukki</v>
      </c>
      <c r="G159" s="9" t="str">
        <f>VLOOKUP(C159,Data!$B$2:$G$176,6,FALSE)</f>
        <v>9496495317</v>
      </c>
      <c r="H159" s="9" t="s">
        <v>200</v>
      </c>
      <c r="I159" s="10"/>
      <c r="J159" s="8">
        <f t="shared" si="1"/>
        <v>10000</v>
      </c>
      <c r="K159" s="8">
        <v>8000</v>
      </c>
      <c r="L159" s="9">
        <v>12000</v>
      </c>
      <c r="M159" s="9">
        <f t="shared" si="2"/>
        <v>2000</v>
      </c>
      <c r="N159" s="9"/>
      <c r="O159" s="9"/>
      <c r="P159" s="9"/>
      <c r="Q159" s="9"/>
      <c r="R159" s="9"/>
      <c r="S159" s="9"/>
      <c r="T159" s="9"/>
      <c r="U159" s="13">
        <f t="shared" si="3"/>
        <v>0</v>
      </c>
      <c r="V159" s="13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spans="1:34" ht="30.75" customHeight="1" x14ac:dyDescent="0.2">
      <c r="A160" s="8">
        <f t="shared" si="4"/>
        <v>157</v>
      </c>
      <c r="B160" s="9"/>
      <c r="C160" s="9" t="s">
        <v>214</v>
      </c>
      <c r="D160" s="10" t="str">
        <f>VLOOKUP(C160,Data!$B$2:$G$176,3,FALSE)</f>
        <v>MUHAMMADALI. P.M</v>
      </c>
      <c r="E160" s="11" t="str">
        <f>VLOOKUP(C160,Data!$B$2:$G$176,4,FALSE)</f>
        <v xml:space="preserve">Poovil(H) Punnakkad PO Karuvarakundu </v>
      </c>
      <c r="F160" s="10" t="str">
        <f>VLOOKUP(C160,Data!$B$2:$G$176,5,FALSE)</f>
        <v>Malappuram</v>
      </c>
      <c r="G160" s="9" t="str">
        <f>VLOOKUP(C160,Data!$B$2:$G$176,6,FALSE)</f>
        <v>7994975697</v>
      </c>
      <c r="H160" s="9" t="s">
        <v>200</v>
      </c>
      <c r="I160" s="10"/>
      <c r="J160" s="8">
        <f t="shared" si="1"/>
        <v>4000</v>
      </c>
      <c r="K160" s="8">
        <v>2000</v>
      </c>
      <c r="L160" s="9">
        <v>12000</v>
      </c>
      <c r="M160" s="9">
        <f t="shared" si="2"/>
        <v>2000</v>
      </c>
      <c r="N160" s="9"/>
      <c r="O160" s="9"/>
      <c r="P160" s="9"/>
      <c r="Q160" s="9"/>
      <c r="R160" s="9"/>
      <c r="S160" s="9"/>
      <c r="T160" s="9"/>
      <c r="U160" s="13">
        <f t="shared" si="3"/>
        <v>0</v>
      </c>
      <c r="V160" s="13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 spans="1:34" ht="30.75" customHeight="1" x14ac:dyDescent="0.2">
      <c r="A161" s="8">
        <f t="shared" si="4"/>
        <v>158</v>
      </c>
      <c r="B161" s="9"/>
      <c r="C161" s="9" t="s">
        <v>215</v>
      </c>
      <c r="D161" s="10" t="str">
        <f>VLOOKUP(C161,Data!$B$2:$G$176,3,FALSE)</f>
        <v>NAVAS</v>
      </c>
      <c r="E161" s="11" t="str">
        <f>VLOOKUP(C161,Data!$B$2:$G$176,4,FALSE)</f>
        <v>Kannadiyil H Kalleri Ayancheri PO</v>
      </c>
      <c r="F161" s="10" t="str">
        <f>VLOOKUP(C161,Data!$B$2:$G$176,5,FALSE)</f>
        <v>Kozhikkode</v>
      </c>
      <c r="G161" s="9" t="str">
        <f>VLOOKUP(C161,Data!$B$2:$G$176,6,FALSE)</f>
        <v>7356770723</v>
      </c>
      <c r="H161" s="9" t="s">
        <v>200</v>
      </c>
      <c r="I161" s="10"/>
      <c r="J161" s="8">
        <f t="shared" si="1"/>
        <v>13000</v>
      </c>
      <c r="K161" s="8">
        <v>11000</v>
      </c>
      <c r="L161" s="9">
        <v>12000</v>
      </c>
      <c r="M161" s="9">
        <f t="shared" si="2"/>
        <v>2000</v>
      </c>
      <c r="N161" s="9"/>
      <c r="O161" s="9"/>
      <c r="P161" s="9"/>
      <c r="Q161" s="9"/>
      <c r="R161" s="9"/>
      <c r="S161" s="9"/>
      <c r="T161" s="9"/>
      <c r="U161" s="13">
        <f t="shared" si="3"/>
        <v>0</v>
      </c>
      <c r="V161" s="13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spans="1:34" ht="30.75" customHeight="1" x14ac:dyDescent="0.2">
      <c r="A162" s="8">
        <f t="shared" si="4"/>
        <v>159</v>
      </c>
      <c r="B162" s="9"/>
      <c r="C162" s="9" t="s">
        <v>216</v>
      </c>
      <c r="D162" s="10" t="str">
        <f>VLOOKUP(C162,Data!$B$2:$G$176,3,FALSE)</f>
        <v>AHAMMED KABEER</v>
      </c>
      <c r="E162" s="11" t="str">
        <f>VLOOKUP(C162,Data!$B$2:$G$176,4,FALSE)</f>
        <v>Mulayankavil (H) 
Payimpadam 
Edakkara
Palemad(p.o) 7012607480</v>
      </c>
      <c r="F162" s="10" t="str">
        <f>VLOOKUP(C162,Data!$B$2:$G$176,5,FALSE)</f>
        <v>Malappuram</v>
      </c>
      <c r="G162" s="9" t="str">
        <f>VLOOKUP(C162,Data!$B$2:$G$176,6,FALSE)</f>
        <v>7012607480</v>
      </c>
      <c r="H162" s="9" t="s">
        <v>200</v>
      </c>
      <c r="I162" s="10"/>
      <c r="J162" s="8">
        <f t="shared" si="1"/>
        <v>4000</v>
      </c>
      <c r="K162" s="8">
        <v>2000</v>
      </c>
      <c r="L162" s="9">
        <v>12000</v>
      </c>
      <c r="M162" s="9">
        <f t="shared" si="2"/>
        <v>2000</v>
      </c>
      <c r="N162" s="9"/>
      <c r="O162" s="9"/>
      <c r="P162" s="9"/>
      <c r="Q162" s="9"/>
      <c r="R162" s="9"/>
      <c r="S162" s="9"/>
      <c r="T162" s="9"/>
      <c r="U162" s="13">
        <f t="shared" si="3"/>
        <v>0</v>
      </c>
      <c r="V162" s="13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 spans="1:34" ht="30.75" customHeight="1" x14ac:dyDescent="0.2">
      <c r="A163" s="8">
        <f t="shared" si="4"/>
        <v>160</v>
      </c>
      <c r="B163" s="9"/>
      <c r="C163" s="9" t="s">
        <v>217</v>
      </c>
      <c r="D163" s="10" t="str">
        <f>VLOOKUP(C163,Data!$B$2:$G$176,3,FALSE)</f>
        <v>SHIHABUDHEEN CT</v>
      </c>
      <c r="E163" s="11" t="str">
        <f>VLOOKUP(C163,Data!$B$2:$G$176,4,FALSE)</f>
        <v>Cheeranthodi 9745831110</v>
      </c>
      <c r="F163" s="10" t="str">
        <f>VLOOKUP(C163,Data!$B$2:$G$176,5,FALSE)</f>
        <v>malappuram</v>
      </c>
      <c r="G163" s="9" t="str">
        <f>VLOOKUP(C163,Data!$B$2:$G$176,6,FALSE)</f>
        <v>9745831110</v>
      </c>
      <c r="H163" s="9" t="s">
        <v>200</v>
      </c>
      <c r="I163" s="10"/>
      <c r="J163" s="8">
        <f t="shared" si="1"/>
        <v>2000</v>
      </c>
      <c r="K163" s="8">
        <v>0</v>
      </c>
      <c r="L163" s="9">
        <v>12000</v>
      </c>
      <c r="M163" s="9">
        <f t="shared" si="2"/>
        <v>2000</v>
      </c>
      <c r="N163" s="9"/>
      <c r="O163" s="9"/>
      <c r="P163" s="9"/>
      <c r="Q163" s="9"/>
      <c r="R163" s="9"/>
      <c r="S163" s="9"/>
      <c r="T163" s="9"/>
      <c r="U163" s="13">
        <f t="shared" si="3"/>
        <v>0</v>
      </c>
      <c r="V163" s="13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spans="1:34" ht="30.75" customHeight="1" x14ac:dyDescent="0.2">
      <c r="A164" s="8">
        <f t="shared" si="4"/>
        <v>161</v>
      </c>
      <c r="B164" s="9"/>
      <c r="C164" s="9" t="s">
        <v>218</v>
      </c>
      <c r="D164" s="10" t="str">
        <f>VLOOKUP(C164,Data!$B$2:$G$176,3,FALSE)</f>
        <v>THWAHA. MP</v>
      </c>
      <c r="E164" s="11" t="str">
        <f>VLOOKUP(C164,Data!$B$2:$G$176,4,FALSE)</f>
        <v>Thahliya manzil 
Vellap road Thaikeel near e arena turff 9539402956</v>
      </c>
      <c r="F164" s="10">
        <f>VLOOKUP(C164,Data!$B$2:$G$176,5,FALSE)</f>
        <v>0</v>
      </c>
      <c r="G164" s="9" t="str">
        <f>VLOOKUP(C164,Data!$B$2:$G$176,6,FALSE)</f>
        <v>9539402956</v>
      </c>
      <c r="H164" s="9" t="s">
        <v>200</v>
      </c>
      <c r="I164" s="10"/>
      <c r="J164" s="8">
        <f t="shared" si="1"/>
        <v>8000</v>
      </c>
      <c r="K164" s="8">
        <v>6000</v>
      </c>
      <c r="L164" s="9">
        <v>12000</v>
      </c>
      <c r="M164" s="9">
        <f t="shared" si="2"/>
        <v>2000</v>
      </c>
      <c r="N164" s="9"/>
      <c r="O164" s="9"/>
      <c r="P164" s="9"/>
      <c r="Q164" s="9"/>
      <c r="R164" s="9"/>
      <c r="S164" s="9"/>
      <c r="T164" s="9"/>
      <c r="U164" s="13">
        <f t="shared" si="3"/>
        <v>0</v>
      </c>
      <c r="V164" s="13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 spans="1:34" ht="30.75" customHeight="1" x14ac:dyDescent="0.2">
      <c r="A165" s="8">
        <f t="shared" si="4"/>
        <v>162</v>
      </c>
      <c r="B165" s="9"/>
      <c r="C165" s="9" t="s">
        <v>219</v>
      </c>
      <c r="D165" s="10" t="str">
        <f>VLOOKUP(C165,Data!$B$2:$G$176,3,FALSE)</f>
        <v>UMMAR FARROOQ</v>
      </c>
      <c r="E165" s="11" t="str">
        <f>VLOOKUP(C165,Data!$B$2:$G$176,4,FALSE)</f>
        <v>Ummarx491
North Housing unit selvapuram
coimbatore
Tamil nadu 641026</v>
      </c>
      <c r="F165" s="10" t="str">
        <f>VLOOKUP(C165,Data!$B$2:$G$176,5,FALSE)</f>
        <v>Coimbature</v>
      </c>
      <c r="G165" s="9" t="str">
        <f>VLOOKUP(C165,Data!$B$2:$G$176,6,FALSE)</f>
        <v>7449000126</v>
      </c>
      <c r="H165" s="9" t="s">
        <v>200</v>
      </c>
      <c r="I165" s="10"/>
      <c r="J165" s="8">
        <f t="shared" si="1"/>
        <v>10000</v>
      </c>
      <c r="K165" s="8">
        <v>8000</v>
      </c>
      <c r="L165" s="9">
        <v>12000</v>
      </c>
      <c r="M165" s="9">
        <f t="shared" si="2"/>
        <v>2000</v>
      </c>
      <c r="N165" s="9"/>
      <c r="O165" s="9"/>
      <c r="P165" s="9"/>
      <c r="Q165" s="9"/>
      <c r="R165" s="9"/>
      <c r="S165" s="9"/>
      <c r="T165" s="9"/>
      <c r="U165" s="13">
        <f t="shared" si="3"/>
        <v>0</v>
      </c>
      <c r="V165" s="13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spans="1:34" ht="30.75" customHeight="1" x14ac:dyDescent="0.2">
      <c r="A166" s="8">
        <f t="shared" si="4"/>
        <v>163</v>
      </c>
      <c r="B166" s="9"/>
      <c r="C166" s="9" t="s">
        <v>220</v>
      </c>
      <c r="D166" s="10"/>
      <c r="E166" s="11"/>
      <c r="F166" s="11"/>
      <c r="G166" s="11"/>
      <c r="H166" s="9" t="s">
        <v>221</v>
      </c>
      <c r="I166" s="10"/>
      <c r="J166" s="8">
        <f t="shared" si="1"/>
        <v>12000</v>
      </c>
      <c r="K166" s="8">
        <v>12000</v>
      </c>
      <c r="L166" s="9">
        <v>0</v>
      </c>
      <c r="M166" s="9">
        <f t="shared" si="2"/>
        <v>0</v>
      </c>
      <c r="N166" s="9"/>
      <c r="O166" s="9"/>
      <c r="P166" s="9"/>
      <c r="Q166" s="9"/>
      <c r="R166" s="9"/>
      <c r="S166" s="9"/>
      <c r="T166" s="9"/>
      <c r="U166" s="13">
        <f t="shared" si="3"/>
        <v>0</v>
      </c>
      <c r="V166" s="13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 spans="1:34" ht="30.75" customHeight="1" x14ac:dyDescent="0.2">
      <c r="A167" s="8">
        <f t="shared" si="4"/>
        <v>164</v>
      </c>
      <c r="B167" s="9"/>
      <c r="C167" s="9" t="s">
        <v>222</v>
      </c>
      <c r="D167" s="10"/>
      <c r="E167" s="11"/>
      <c r="F167" s="10"/>
      <c r="G167" s="9"/>
      <c r="H167" s="9" t="s">
        <v>221</v>
      </c>
      <c r="I167" s="10"/>
      <c r="J167" s="8">
        <f t="shared" si="1"/>
        <v>28000</v>
      </c>
      <c r="K167" s="8">
        <v>28000</v>
      </c>
      <c r="L167" s="9">
        <v>0</v>
      </c>
      <c r="M167" s="9">
        <f t="shared" si="2"/>
        <v>0</v>
      </c>
      <c r="N167" s="9"/>
      <c r="O167" s="9"/>
      <c r="P167" s="9"/>
      <c r="Q167" s="9"/>
      <c r="R167" s="9"/>
      <c r="S167" s="9"/>
      <c r="T167" s="9"/>
      <c r="U167" s="13">
        <f t="shared" si="3"/>
        <v>0</v>
      </c>
      <c r="V167" s="13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spans="1:34" ht="30.75" customHeight="1" x14ac:dyDescent="0.2">
      <c r="A168" s="8">
        <f t="shared" si="4"/>
        <v>165</v>
      </c>
      <c r="B168" s="9"/>
      <c r="C168" s="9" t="s">
        <v>223</v>
      </c>
      <c r="D168" s="10"/>
      <c r="E168" s="11"/>
      <c r="F168" s="10"/>
      <c r="G168" s="9"/>
      <c r="H168" s="9" t="s">
        <v>221</v>
      </c>
      <c r="I168" s="10"/>
      <c r="J168" s="8">
        <f t="shared" si="1"/>
        <v>0</v>
      </c>
      <c r="K168" s="8">
        <v>0</v>
      </c>
      <c r="L168" s="9">
        <v>0</v>
      </c>
      <c r="M168" s="9">
        <f t="shared" si="2"/>
        <v>0</v>
      </c>
      <c r="N168" s="9"/>
      <c r="O168" s="9"/>
      <c r="P168" s="9"/>
      <c r="Q168" s="9"/>
      <c r="R168" s="9"/>
      <c r="S168" s="9"/>
      <c r="T168" s="9"/>
      <c r="U168" s="13">
        <f t="shared" si="3"/>
        <v>0</v>
      </c>
      <c r="V168" s="13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 spans="1:34" ht="30.75" customHeight="1" x14ac:dyDescent="0.2">
      <c r="A169" s="8">
        <f t="shared" si="4"/>
        <v>166</v>
      </c>
      <c r="B169" s="9"/>
      <c r="C169" s="9" t="s">
        <v>224</v>
      </c>
      <c r="D169" s="10"/>
      <c r="E169" s="11"/>
      <c r="F169" s="10"/>
      <c r="G169" s="9"/>
      <c r="H169" s="9" t="s">
        <v>221</v>
      </c>
      <c r="I169" s="10"/>
      <c r="J169" s="8">
        <f t="shared" si="1"/>
        <v>0</v>
      </c>
      <c r="K169" s="8">
        <v>0</v>
      </c>
      <c r="L169" s="9">
        <v>0</v>
      </c>
      <c r="M169" s="9">
        <f t="shared" si="2"/>
        <v>0</v>
      </c>
      <c r="N169" s="9"/>
      <c r="O169" s="9"/>
      <c r="P169" s="9"/>
      <c r="Q169" s="9"/>
      <c r="R169" s="9"/>
      <c r="S169" s="9"/>
      <c r="T169" s="9"/>
      <c r="U169" s="13">
        <f t="shared" si="3"/>
        <v>0</v>
      </c>
      <c r="V169" s="13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spans="1:34" ht="30.75" customHeight="1" x14ac:dyDescent="0.2">
      <c r="A170" s="8">
        <f t="shared" si="4"/>
        <v>167</v>
      </c>
      <c r="B170" s="9"/>
      <c r="C170" s="9" t="s">
        <v>225</v>
      </c>
      <c r="D170" s="10"/>
      <c r="E170" s="11"/>
      <c r="F170" s="10"/>
      <c r="G170" s="9"/>
      <c r="H170" s="9" t="s">
        <v>221</v>
      </c>
      <c r="I170" s="10"/>
      <c r="J170" s="8">
        <f t="shared" si="1"/>
        <v>7500</v>
      </c>
      <c r="K170" s="8">
        <v>7500</v>
      </c>
      <c r="L170" s="9">
        <v>0</v>
      </c>
      <c r="M170" s="9">
        <f t="shared" si="2"/>
        <v>0</v>
      </c>
      <c r="N170" s="9"/>
      <c r="O170" s="9"/>
      <c r="P170" s="9"/>
      <c r="Q170" s="9"/>
      <c r="R170" s="9"/>
      <c r="S170" s="9"/>
      <c r="T170" s="9"/>
      <c r="U170" s="13">
        <f t="shared" si="3"/>
        <v>0</v>
      </c>
      <c r="V170" s="13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 spans="1:34" ht="30.75" customHeight="1" x14ac:dyDescent="0.2">
      <c r="A171" s="8">
        <f t="shared" si="4"/>
        <v>168</v>
      </c>
      <c r="B171" s="9"/>
      <c r="C171" s="9" t="s">
        <v>226</v>
      </c>
      <c r="D171" s="10"/>
      <c r="E171" s="11"/>
      <c r="F171" s="10"/>
      <c r="G171" s="9"/>
      <c r="H171" s="9" t="s">
        <v>221</v>
      </c>
      <c r="I171" s="10"/>
      <c r="J171" s="8">
        <f t="shared" si="1"/>
        <v>1000</v>
      </c>
      <c r="K171" s="8">
        <v>1000</v>
      </c>
      <c r="L171" s="9">
        <v>0</v>
      </c>
      <c r="M171" s="9">
        <f t="shared" si="2"/>
        <v>0</v>
      </c>
      <c r="N171" s="9"/>
      <c r="O171" s="9"/>
      <c r="P171" s="9"/>
      <c r="Q171" s="9"/>
      <c r="R171" s="9"/>
      <c r="S171" s="9"/>
      <c r="T171" s="9"/>
      <c r="U171" s="13">
        <f t="shared" si="3"/>
        <v>0</v>
      </c>
      <c r="V171" s="13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spans="1:34" ht="30.75" customHeight="1" x14ac:dyDescent="0.2">
      <c r="A172" s="8">
        <f t="shared" si="4"/>
        <v>169</v>
      </c>
      <c r="B172" s="9"/>
      <c r="C172" s="9" t="s">
        <v>227</v>
      </c>
      <c r="D172" s="10"/>
      <c r="E172" s="11"/>
      <c r="F172" s="10"/>
      <c r="G172" s="9"/>
      <c r="H172" s="9" t="s">
        <v>221</v>
      </c>
      <c r="I172" s="10"/>
      <c r="J172" s="8">
        <f t="shared" si="1"/>
        <v>15400</v>
      </c>
      <c r="K172" s="8">
        <v>15400</v>
      </c>
      <c r="L172" s="9">
        <v>0</v>
      </c>
      <c r="M172" s="9">
        <f t="shared" si="2"/>
        <v>0</v>
      </c>
      <c r="N172" s="9"/>
      <c r="O172" s="9"/>
      <c r="P172" s="9"/>
      <c r="Q172" s="9"/>
      <c r="R172" s="9"/>
      <c r="S172" s="9"/>
      <c r="T172" s="9"/>
      <c r="U172" s="13">
        <f t="shared" si="3"/>
        <v>0</v>
      </c>
      <c r="V172" s="13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spans="1:34" ht="30.75" customHeight="1" x14ac:dyDescent="0.2">
      <c r="A173" s="8">
        <f t="shared" si="4"/>
        <v>170</v>
      </c>
      <c r="B173" s="9"/>
      <c r="C173" s="9" t="s">
        <v>228</v>
      </c>
      <c r="D173" s="10"/>
      <c r="E173" s="11"/>
      <c r="F173" s="10"/>
      <c r="G173" s="9"/>
      <c r="H173" s="9" t="s">
        <v>221</v>
      </c>
      <c r="I173" s="10"/>
      <c r="J173" s="8">
        <f t="shared" si="1"/>
        <v>93500</v>
      </c>
      <c r="K173" s="8">
        <v>93500</v>
      </c>
      <c r="L173" s="9">
        <v>0</v>
      </c>
      <c r="M173" s="9">
        <f t="shared" si="2"/>
        <v>0</v>
      </c>
      <c r="N173" s="9"/>
      <c r="O173" s="9"/>
      <c r="P173" s="9"/>
      <c r="Q173" s="9"/>
      <c r="R173" s="9"/>
      <c r="S173" s="9"/>
      <c r="T173" s="9"/>
      <c r="U173" s="13">
        <f t="shared" si="3"/>
        <v>0</v>
      </c>
      <c r="V173" s="13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spans="1:34" ht="30.75" customHeight="1" x14ac:dyDescent="0.2">
      <c r="A174" s="8">
        <f t="shared" si="4"/>
        <v>171</v>
      </c>
      <c r="B174" s="9"/>
      <c r="C174" s="9" t="s">
        <v>229</v>
      </c>
      <c r="D174" s="10"/>
      <c r="E174" s="11"/>
      <c r="F174" s="10"/>
      <c r="G174" s="9"/>
      <c r="H174" s="9" t="s">
        <v>221</v>
      </c>
      <c r="I174" s="10"/>
      <c r="J174" s="8">
        <f t="shared" si="1"/>
        <v>38500</v>
      </c>
      <c r="K174" s="8">
        <v>38500</v>
      </c>
      <c r="L174" s="9">
        <v>0</v>
      </c>
      <c r="M174" s="9">
        <f t="shared" si="2"/>
        <v>0</v>
      </c>
      <c r="N174" s="9"/>
      <c r="O174" s="9"/>
      <c r="P174" s="9"/>
      <c r="Q174" s="9"/>
      <c r="R174" s="9"/>
      <c r="S174" s="9"/>
      <c r="T174" s="9"/>
      <c r="U174" s="13">
        <f t="shared" si="3"/>
        <v>0</v>
      </c>
      <c r="V174" s="13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spans="1:34" ht="30.75" customHeight="1" x14ac:dyDescent="0.2">
      <c r="A175" s="8">
        <f t="shared" si="4"/>
        <v>172</v>
      </c>
      <c r="B175" s="9"/>
      <c r="C175" s="9" t="s">
        <v>230</v>
      </c>
      <c r="D175" s="10"/>
      <c r="E175" s="11"/>
      <c r="F175" s="10"/>
      <c r="G175" s="9"/>
      <c r="H175" s="9" t="s">
        <v>221</v>
      </c>
      <c r="I175" s="10"/>
      <c r="J175" s="8">
        <f t="shared" si="1"/>
        <v>0</v>
      </c>
      <c r="K175" s="8">
        <v>0</v>
      </c>
      <c r="L175" s="9">
        <v>0</v>
      </c>
      <c r="M175" s="9">
        <f t="shared" si="2"/>
        <v>0</v>
      </c>
      <c r="N175" s="9"/>
      <c r="O175" s="9"/>
      <c r="P175" s="9"/>
      <c r="Q175" s="9"/>
      <c r="R175" s="9"/>
      <c r="S175" s="9"/>
      <c r="T175" s="9"/>
      <c r="U175" s="13">
        <f t="shared" si="3"/>
        <v>0</v>
      </c>
      <c r="V175" s="13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spans="1:34" ht="30.75" customHeight="1" x14ac:dyDescent="0.2">
      <c r="A176" s="8">
        <f t="shared" si="4"/>
        <v>173</v>
      </c>
      <c r="B176" s="9"/>
      <c r="C176" s="9" t="s">
        <v>231</v>
      </c>
      <c r="D176" s="10"/>
      <c r="E176" s="11"/>
      <c r="F176" s="10"/>
      <c r="G176" s="9"/>
      <c r="H176" s="9" t="s">
        <v>221</v>
      </c>
      <c r="I176" s="10"/>
      <c r="J176" s="8">
        <f t="shared" si="1"/>
        <v>0</v>
      </c>
      <c r="K176" s="8">
        <v>0</v>
      </c>
      <c r="L176" s="9">
        <v>0</v>
      </c>
      <c r="M176" s="9">
        <f t="shared" si="2"/>
        <v>0</v>
      </c>
      <c r="N176" s="9"/>
      <c r="O176" s="9"/>
      <c r="P176" s="9"/>
      <c r="Q176" s="9"/>
      <c r="R176" s="9"/>
      <c r="S176" s="9"/>
      <c r="T176" s="9"/>
      <c r="U176" s="13">
        <f t="shared" si="3"/>
        <v>0</v>
      </c>
      <c r="V176" s="13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spans="1:34" ht="30.75" customHeight="1" x14ac:dyDescent="0.2">
      <c r="A177" s="8">
        <f t="shared" si="4"/>
        <v>174</v>
      </c>
      <c r="B177" s="9"/>
      <c r="C177" s="9" t="s">
        <v>232</v>
      </c>
      <c r="D177" s="10">
        <f>VLOOKUP(C177,Data!$B$2:$G$176,3,FALSE)</f>
        <v>0</v>
      </c>
      <c r="E177" s="11" t="str">
        <f>VLOOKUP(C177,Data!$B$2:$G$176,4,FALSE)</f>
        <v>Elippakulam 9995512047</v>
      </c>
      <c r="F177" s="10" t="str">
        <f>VLOOKUP(C177,Data!$B$2:$G$176,5,FALSE)</f>
        <v>Alappuzha</v>
      </c>
      <c r="G177" s="9" t="str">
        <f>VLOOKUP(C177,Data!$B$2:$G$176,6,FALSE)</f>
        <v>9995512047</v>
      </c>
      <c r="H177" s="9" t="s">
        <v>233</v>
      </c>
      <c r="I177" s="10"/>
      <c r="J177" s="8">
        <f t="shared" si="1"/>
        <v>20000</v>
      </c>
      <c r="K177" s="8">
        <v>20000</v>
      </c>
      <c r="L177" s="9">
        <v>0</v>
      </c>
      <c r="M177" s="9">
        <f t="shared" si="2"/>
        <v>0</v>
      </c>
      <c r="N177" s="9"/>
      <c r="O177" s="9"/>
      <c r="P177" s="9"/>
      <c r="Q177" s="9"/>
      <c r="R177" s="9"/>
      <c r="S177" s="9"/>
      <c r="T177" s="9"/>
      <c r="U177" s="13">
        <f t="shared" si="3"/>
        <v>0</v>
      </c>
      <c r="V177" s="13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spans="1:34" ht="30.75" customHeight="1" x14ac:dyDescent="0.2">
      <c r="A178" s="8">
        <f t="shared" si="4"/>
        <v>175</v>
      </c>
      <c r="B178" s="9"/>
      <c r="C178" s="9" t="s">
        <v>234</v>
      </c>
      <c r="D178" s="10" t="str">
        <f>VLOOKUP(C178,Data!$B$2:$G$176,3,FALSE)</f>
        <v>THAJUDHEEN</v>
      </c>
      <c r="E178" s="11" t="str">
        <f>VLOOKUP(C178,Data!$B$2:$G$176,4,FALSE)</f>
        <v>Peringala7025410822</v>
      </c>
      <c r="F178" s="10" t="str">
        <f>VLOOKUP(C178,Data!$B$2:$G$176,5,FALSE)</f>
        <v>Alappuzha</v>
      </c>
      <c r="G178" s="9" t="str">
        <f>VLOOKUP(C178,Data!$B$2:$G$176,6,FALSE)</f>
        <v>7025410822</v>
      </c>
      <c r="H178" s="9" t="s">
        <v>233</v>
      </c>
      <c r="I178" s="10"/>
      <c r="J178" s="8">
        <f t="shared" si="1"/>
        <v>50000</v>
      </c>
      <c r="K178" s="8">
        <v>50000</v>
      </c>
      <c r="L178" s="9">
        <v>0</v>
      </c>
      <c r="M178" s="9">
        <f t="shared" si="2"/>
        <v>0</v>
      </c>
      <c r="N178" s="9"/>
      <c r="O178" s="9"/>
      <c r="P178" s="9"/>
      <c r="Q178" s="9"/>
      <c r="R178" s="9"/>
      <c r="S178" s="9"/>
      <c r="T178" s="9"/>
      <c r="U178" s="13">
        <f t="shared" si="3"/>
        <v>0</v>
      </c>
      <c r="V178" s="13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spans="1:34" ht="30.75" customHeight="1" x14ac:dyDescent="0.2">
      <c r="A179" s="8">
        <f t="shared" si="4"/>
        <v>176</v>
      </c>
      <c r="B179" s="9"/>
      <c r="C179" s="9" t="s">
        <v>235</v>
      </c>
      <c r="D179" s="10">
        <f>VLOOKUP(C179,Data!$B$2:$G$176,3,FALSE)</f>
        <v>0</v>
      </c>
      <c r="E179" s="11" t="str">
        <f>VLOOKUP(C179,Data!$B$2:$G$176,4,FALSE)</f>
        <v/>
      </c>
      <c r="F179" s="10" t="str">
        <f>VLOOKUP(C179,Data!$B$2:$G$176,5,FALSE)</f>
        <v>Coimbatore</v>
      </c>
      <c r="G179" s="9">
        <f>VLOOKUP(C179,Data!$B$2:$G$176,6,FALSE)</f>
        <v>0</v>
      </c>
      <c r="H179" s="9" t="s">
        <v>233</v>
      </c>
      <c r="I179" s="10"/>
      <c r="J179" s="8">
        <f t="shared" si="1"/>
        <v>6000</v>
      </c>
      <c r="K179" s="8">
        <v>6000</v>
      </c>
      <c r="L179" s="9">
        <v>0</v>
      </c>
      <c r="M179" s="9">
        <f t="shared" si="2"/>
        <v>0</v>
      </c>
      <c r="N179" s="9"/>
      <c r="O179" s="9"/>
      <c r="P179" s="9"/>
      <c r="Q179" s="9"/>
      <c r="R179" s="9"/>
      <c r="S179" s="9"/>
      <c r="T179" s="9"/>
      <c r="U179" s="13">
        <f t="shared" si="3"/>
        <v>0</v>
      </c>
      <c r="V179" s="13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spans="1:34" ht="30.75" customHeight="1" x14ac:dyDescent="0.2">
      <c r="A180" s="8">
        <f t="shared" si="4"/>
        <v>177</v>
      </c>
      <c r="B180" s="9"/>
      <c r="C180" s="9" t="s">
        <v>236</v>
      </c>
      <c r="D180" s="10">
        <f>VLOOKUP(C180,Data!$B$2:$G$176,3,FALSE)</f>
        <v>0</v>
      </c>
      <c r="E180" s="11" t="str">
        <f>VLOOKUP(C180,Data!$B$2:$G$176,4,FALSE)</f>
        <v>Kavalakatte8970100074</v>
      </c>
      <c r="F180" s="10" t="str">
        <f>VLOOKUP(C180,Data!$B$2:$G$176,5,FALSE)</f>
        <v>Karnataka</v>
      </c>
      <c r="G180" s="9" t="str">
        <f>VLOOKUP(C180,Data!$B$2:$G$176,6,FALSE)</f>
        <v>8970100074</v>
      </c>
      <c r="H180" s="9" t="s">
        <v>233</v>
      </c>
      <c r="I180" s="10"/>
      <c r="J180" s="8">
        <f t="shared" si="1"/>
        <v>12000</v>
      </c>
      <c r="K180" s="8">
        <v>12000</v>
      </c>
      <c r="L180" s="9">
        <v>0</v>
      </c>
      <c r="M180" s="9">
        <f t="shared" si="2"/>
        <v>0</v>
      </c>
      <c r="N180" s="9"/>
      <c r="O180" s="9"/>
      <c r="P180" s="9"/>
      <c r="Q180" s="9"/>
      <c r="R180" s="9"/>
      <c r="S180" s="9"/>
      <c r="T180" s="9"/>
      <c r="U180" s="13">
        <f t="shared" si="3"/>
        <v>0</v>
      </c>
      <c r="V180" s="13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 spans="1:34" ht="30.75" customHeight="1" x14ac:dyDescent="0.2">
      <c r="A181" s="8">
        <f t="shared" si="4"/>
        <v>178</v>
      </c>
      <c r="B181" s="9"/>
      <c r="C181" s="9" t="s">
        <v>237</v>
      </c>
      <c r="D181" s="10" t="str">
        <f>VLOOKUP(C181,Data!$B$2:$G$176,3,FALSE)</f>
        <v>MUHAMMED ZAKKARIYA</v>
      </c>
      <c r="E181" s="11" t="str">
        <f>VLOOKUP(C181,Data!$B$2:$G$176,4,FALSE)</f>
        <v>Pangode8086615589</v>
      </c>
      <c r="F181" s="10" t="str">
        <f>VLOOKUP(C181,Data!$B$2:$G$176,5,FALSE)</f>
        <v>Thiruvanathapuram</v>
      </c>
      <c r="G181" s="9" t="str">
        <f>VLOOKUP(C181,Data!$B$2:$G$176,6,FALSE)</f>
        <v>8086615589</v>
      </c>
      <c r="H181" s="9" t="s">
        <v>233</v>
      </c>
      <c r="I181" s="10"/>
      <c r="J181" s="8">
        <f t="shared" si="1"/>
        <v>41000</v>
      </c>
      <c r="K181" s="8">
        <v>41000</v>
      </c>
      <c r="L181" s="9">
        <v>0</v>
      </c>
      <c r="M181" s="9">
        <f t="shared" si="2"/>
        <v>0</v>
      </c>
      <c r="N181" s="9"/>
      <c r="O181" s="9"/>
      <c r="P181" s="9"/>
      <c r="Q181" s="9"/>
      <c r="R181" s="9"/>
      <c r="S181" s="9"/>
      <c r="T181" s="9"/>
      <c r="U181" s="13">
        <f t="shared" si="3"/>
        <v>0</v>
      </c>
      <c r="V181" s="13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spans="1:34" ht="30.75" customHeight="1" x14ac:dyDescent="0.2">
      <c r="A182" s="8">
        <f t="shared" si="4"/>
        <v>179</v>
      </c>
      <c r="B182" s="9"/>
      <c r="C182" s="9" t="s">
        <v>238</v>
      </c>
      <c r="D182" s="10">
        <f>VLOOKUP(C182,Data!$B$2:$G$176,3,FALSE)</f>
        <v>0</v>
      </c>
      <c r="E182" s="11" t="str">
        <f>VLOOKUP(C182,Data!$B$2:$G$176,4,FALSE)</f>
        <v>Ugrapuram9846721023</v>
      </c>
      <c r="F182" s="10" t="str">
        <f>VLOOKUP(C182,Data!$B$2:$G$176,5,FALSE)</f>
        <v>Malappuram</v>
      </c>
      <c r="G182" s="9" t="str">
        <f>VLOOKUP(C182,Data!$B$2:$G$176,6,FALSE)</f>
        <v>9846721023</v>
      </c>
      <c r="H182" s="9" t="s">
        <v>233</v>
      </c>
      <c r="I182" s="10"/>
      <c r="J182" s="8">
        <f t="shared" si="1"/>
        <v>16000</v>
      </c>
      <c r="K182" s="8">
        <v>16000</v>
      </c>
      <c r="L182" s="9">
        <v>0</v>
      </c>
      <c r="M182" s="9">
        <f t="shared" si="2"/>
        <v>0</v>
      </c>
      <c r="N182" s="9"/>
      <c r="O182" s="9"/>
      <c r="P182" s="9"/>
      <c r="Q182" s="9"/>
      <c r="R182" s="9"/>
      <c r="S182" s="9"/>
      <c r="T182" s="9"/>
      <c r="U182" s="13">
        <f t="shared" si="3"/>
        <v>0</v>
      </c>
      <c r="V182" s="13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 spans="1:34" ht="30.75" customHeight="1" x14ac:dyDescent="0.2">
      <c r="A183" s="8">
        <f t="shared" si="4"/>
        <v>180</v>
      </c>
      <c r="B183" s="9"/>
      <c r="C183" s="9" t="s">
        <v>239</v>
      </c>
      <c r="D183" s="10" t="str">
        <f>VLOOKUP(C183,Data!$B$2:$G$176,3,FALSE)</f>
        <v>ABDUL GAFOOR</v>
      </c>
      <c r="E183" s="11" t="str">
        <f>VLOOKUP(C183,Data!$B$2:$G$176,4,FALSE)</f>
        <v>Thalappuzzha8606772009</v>
      </c>
      <c r="F183" s="10" t="str">
        <f>VLOOKUP(C183,Data!$B$2:$G$176,5,FALSE)</f>
        <v>Wayanad</v>
      </c>
      <c r="G183" s="9" t="str">
        <f>VLOOKUP(C183,Data!$B$2:$G$176,6,FALSE)</f>
        <v>8606772009</v>
      </c>
      <c r="H183" s="9" t="s">
        <v>233</v>
      </c>
      <c r="I183" s="10"/>
      <c r="J183" s="8">
        <f t="shared" si="1"/>
        <v>60000</v>
      </c>
      <c r="K183" s="8">
        <v>60000</v>
      </c>
      <c r="L183" s="9">
        <v>0</v>
      </c>
      <c r="M183" s="9">
        <f t="shared" si="2"/>
        <v>0</v>
      </c>
      <c r="N183" s="9"/>
      <c r="O183" s="9"/>
      <c r="P183" s="9"/>
      <c r="Q183" s="9"/>
      <c r="R183" s="9"/>
      <c r="S183" s="9"/>
      <c r="T183" s="9"/>
      <c r="U183" s="13">
        <f t="shared" si="3"/>
        <v>0</v>
      </c>
      <c r="V183" s="13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spans="1:34" ht="30.75" customHeight="1" x14ac:dyDescent="0.2">
      <c r="A184" s="8">
        <f t="shared" si="4"/>
        <v>181</v>
      </c>
      <c r="B184" s="9"/>
      <c r="C184" s="9" t="s">
        <v>240</v>
      </c>
      <c r="D184" s="10" t="str">
        <f>VLOOKUP(C184,Data!$B$2:$G$176,3,FALSE)</f>
        <v>IBRAHIM BA</v>
      </c>
      <c r="E184" s="11" t="str">
        <f>VLOOKUP(C184,Data!$B$2:$G$176,4,FALSE)</f>
        <v>Nabhvath Nagar9539851333</v>
      </c>
      <c r="F184" s="10" t="str">
        <f>VLOOKUP(C184,Data!$B$2:$G$176,5,FALSE)</f>
        <v>Alappuzha</v>
      </c>
      <c r="G184" s="9" t="str">
        <f>VLOOKUP(C184,Data!$B$2:$G$176,6,FALSE)</f>
        <v>9539851333</v>
      </c>
      <c r="H184" s="9" t="s">
        <v>233</v>
      </c>
      <c r="I184" s="10"/>
      <c r="J184" s="8">
        <f t="shared" si="1"/>
        <v>0</v>
      </c>
      <c r="K184" s="8">
        <v>0</v>
      </c>
      <c r="L184" s="9">
        <v>0</v>
      </c>
      <c r="M184" s="9">
        <f t="shared" si="2"/>
        <v>0</v>
      </c>
      <c r="N184" s="9"/>
      <c r="O184" s="9"/>
      <c r="P184" s="9"/>
      <c r="Q184" s="9"/>
      <c r="R184" s="9"/>
      <c r="S184" s="9"/>
      <c r="T184" s="9"/>
      <c r="U184" s="13">
        <f t="shared" si="3"/>
        <v>0</v>
      </c>
      <c r="V184" s="13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 spans="1:34" ht="30.75" customHeight="1" x14ac:dyDescent="0.2">
      <c r="A185" s="8">
        <f t="shared" si="4"/>
        <v>182</v>
      </c>
      <c r="B185" s="9"/>
      <c r="C185" s="9"/>
      <c r="D185" s="10"/>
      <c r="E185" s="10"/>
      <c r="F185" s="10" t="e">
        <f>VLOOKUP(C185,Data!$B$2:$G$176,5,FALSE)</f>
        <v>#N/A</v>
      </c>
      <c r="G185" s="9" t="e">
        <f>VLOOKUP(C185,Data!$B$2:$G$176,6,FALSE)</f>
        <v>#N/A</v>
      </c>
      <c r="H185" s="9"/>
      <c r="I185" s="10"/>
      <c r="J185" s="8">
        <f t="shared" si="1"/>
        <v>0</v>
      </c>
      <c r="K185" s="8"/>
      <c r="L185" s="9"/>
      <c r="M185" s="9">
        <f t="shared" si="2"/>
        <v>0</v>
      </c>
      <c r="N185" s="9"/>
      <c r="O185" s="9"/>
      <c r="P185" s="9"/>
      <c r="Q185" s="9"/>
      <c r="R185" s="9"/>
      <c r="S185" s="9"/>
      <c r="T185" s="9"/>
      <c r="U185" s="13">
        <f t="shared" si="3"/>
        <v>0</v>
      </c>
      <c r="V185" s="13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 spans="1:34" ht="30.75" customHeight="1" x14ac:dyDescent="0.2">
      <c r="A186" s="8">
        <f t="shared" si="4"/>
        <v>183</v>
      </c>
      <c r="B186" s="9"/>
      <c r="C186" s="9"/>
      <c r="D186" s="10"/>
      <c r="E186" s="10"/>
      <c r="F186" s="10" t="e">
        <f>VLOOKUP(C186,Data!$B$2:$G$176,5,FALSE)</f>
        <v>#N/A</v>
      </c>
      <c r="G186" s="9" t="e">
        <f>VLOOKUP(C186,Data!$B$2:$G$176,6,FALSE)</f>
        <v>#N/A</v>
      </c>
      <c r="H186" s="9"/>
      <c r="I186" s="10"/>
      <c r="J186" s="8">
        <f t="shared" si="1"/>
        <v>0</v>
      </c>
      <c r="K186" s="8"/>
      <c r="L186" s="9"/>
      <c r="M186" s="9">
        <f t="shared" si="2"/>
        <v>0</v>
      </c>
      <c r="N186" s="9"/>
      <c r="O186" s="9"/>
      <c r="P186" s="9"/>
      <c r="Q186" s="9"/>
      <c r="R186" s="9"/>
      <c r="S186" s="9"/>
      <c r="T186" s="9"/>
      <c r="U186" s="13">
        <f t="shared" si="3"/>
        <v>0</v>
      </c>
      <c r="V186" s="13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 spans="1:34" ht="30.75" customHeight="1" x14ac:dyDescent="0.2">
      <c r="A187" s="15" t="s">
        <v>241</v>
      </c>
      <c r="B187" s="16"/>
      <c r="C187" s="16"/>
      <c r="D187" s="17"/>
      <c r="E187" s="17"/>
      <c r="F187" s="17"/>
      <c r="G187" s="16"/>
      <c r="H187" s="16"/>
      <c r="I187" s="17"/>
      <c r="J187" s="15"/>
      <c r="K187" s="15"/>
      <c r="L187" s="18"/>
      <c r="M187" s="18"/>
      <c r="N187" s="18"/>
      <c r="O187" s="18"/>
      <c r="P187" s="18"/>
      <c r="Q187" s="18"/>
      <c r="R187" s="18"/>
      <c r="S187" s="18"/>
      <c r="T187" s="18"/>
      <c r="U187" s="19"/>
      <c r="V187" s="19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</row>
    <row r="188" spans="1:34" ht="30.75" customHeight="1" x14ac:dyDescent="0.2">
      <c r="A188" s="8"/>
      <c r="B188" s="9"/>
      <c r="C188" s="9"/>
      <c r="D188" s="10"/>
      <c r="E188" s="10"/>
      <c r="F188" s="10"/>
      <c r="G188" s="9"/>
      <c r="H188" s="9"/>
      <c r="I188" s="10"/>
      <c r="J188" s="8"/>
      <c r="K188" s="8"/>
      <c r="L188" s="12"/>
      <c r="M188" s="12"/>
      <c r="N188" s="12"/>
      <c r="O188" s="12"/>
      <c r="P188" s="12"/>
      <c r="Q188" s="12"/>
      <c r="R188" s="12"/>
      <c r="S188" s="12"/>
      <c r="T188" s="12"/>
      <c r="U188" s="13"/>
      <c r="V188" s="13" t="s">
        <v>242</v>
      </c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spans="1:34" ht="30.75" customHeight="1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8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8.75" x14ac:dyDescent="0.2">
      <c r="A191" s="1"/>
      <c r="B191" s="1"/>
      <c r="C191" s="1"/>
      <c r="D191" s="1"/>
      <c r="E191" s="1"/>
      <c r="F191" s="1"/>
      <c r="G191" s="1"/>
      <c r="H191" s="1" t="s">
        <v>243</v>
      </c>
      <c r="I191" s="1"/>
      <c r="J191" s="1"/>
      <c r="K191" s="1"/>
      <c r="L191" s="1"/>
      <c r="M191" s="21"/>
      <c r="N191" s="21">
        <f>COUNTBLANK(N15:N184)</f>
        <v>170</v>
      </c>
      <c r="O191" s="21"/>
      <c r="P191" s="21">
        <f t="shared" ref="P191:T191" si="5">COUNTBLANK(P15:P184)</f>
        <v>170</v>
      </c>
      <c r="Q191" s="21">
        <f t="shared" si="5"/>
        <v>170</v>
      </c>
      <c r="R191" s="21">
        <f t="shared" si="5"/>
        <v>170</v>
      </c>
      <c r="S191" s="21">
        <f t="shared" si="5"/>
        <v>170</v>
      </c>
      <c r="T191" s="21">
        <f t="shared" si="5"/>
        <v>170</v>
      </c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8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8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8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8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8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8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8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8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8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8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8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8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8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8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8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8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8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8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8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8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8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8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8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8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8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8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8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8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8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8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8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8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8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8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8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8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8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8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8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8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8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8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8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8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8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8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8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8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8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8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8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8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8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8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8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8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8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8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8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8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8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8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8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8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8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8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8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8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8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8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8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8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8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8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8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8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8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8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8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8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8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8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8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8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8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8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8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8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8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8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8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8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8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8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8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8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8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8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8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8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8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8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8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8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8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8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8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8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8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8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8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8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8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8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8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8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8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8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8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8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8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8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8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8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8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8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8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8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8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8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8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8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8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8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8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8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8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8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8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8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8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8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8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8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8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8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8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8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8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8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8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8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8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8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8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8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8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8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8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8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8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8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8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8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8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8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8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8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8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8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8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8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8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8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8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8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8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8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8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8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8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8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8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8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8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8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8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8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8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8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8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8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8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8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8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8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8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8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8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8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8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8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8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8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8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8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8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8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8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8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8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8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8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8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8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8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8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8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8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8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8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8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8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8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8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8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8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8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8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8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8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8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8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8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8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8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8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8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8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8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8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8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8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8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8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8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8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8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8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8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8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8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8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8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8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8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8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8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8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8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8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8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8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8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8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8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8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8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8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8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8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8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8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8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8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8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8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8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8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8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8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8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8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8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8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8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8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8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8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8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8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8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8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8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8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8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8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8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8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8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8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8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8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8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8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8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8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8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8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8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8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8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8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8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8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8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8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8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8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8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8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8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8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8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8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8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8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8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8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8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8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8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8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8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8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8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8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8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8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8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8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8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8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8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8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8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8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8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8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8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8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8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8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8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8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8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8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8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8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8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8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8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8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8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8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8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8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8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8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8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8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8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8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8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8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8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8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8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8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8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8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8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8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8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8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8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8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8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8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8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8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8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8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8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8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8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8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8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8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8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8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8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8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8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8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8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8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8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8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8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8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8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8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8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8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8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8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8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8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8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8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8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8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8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8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8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8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8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8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8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8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8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8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8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8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8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8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8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8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8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8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8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8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8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8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8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8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8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8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8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8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8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8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8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8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8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8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8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8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8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8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8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8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8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8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8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8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8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8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8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8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8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8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8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8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8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8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8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8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8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8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8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8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8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8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8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8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8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8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8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8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8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8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8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8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8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8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8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8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8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8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8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8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8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8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8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8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8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8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8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8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8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8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8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8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8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8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8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8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8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8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8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8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8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8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8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8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8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8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8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8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8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8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8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8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8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8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8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8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8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8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8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8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8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8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8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8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8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8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8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8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8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8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8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8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8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8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8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8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8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8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8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8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8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8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8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8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8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8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8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8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8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8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8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8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8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8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8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8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8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8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8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8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8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8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8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8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8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8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8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8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8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8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8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8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8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8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8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8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8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8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8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8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8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8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8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8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8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8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8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8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8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8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8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8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8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8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8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8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8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8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8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8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8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8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8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8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8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8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8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8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8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8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8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8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8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8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8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8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8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8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8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8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8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8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8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8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8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8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8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8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8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8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8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8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8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8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8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8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8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8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8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8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8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8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8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8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8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8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8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8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8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8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8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8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8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8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8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8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8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8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8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8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8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8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8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8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8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8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8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8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8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8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8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8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8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8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8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8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8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8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8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8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8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8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8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8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8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8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8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8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8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8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8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8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8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8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8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8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8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8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8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8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8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8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8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8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8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8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8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8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8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8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8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8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8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8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8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8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8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8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8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8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8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8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8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8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8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8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8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8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8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8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8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8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8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8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8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8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8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8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8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8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8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8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8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8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8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8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8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8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8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8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8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8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8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8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8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8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8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8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8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8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8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8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8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8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8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8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8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8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8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8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8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8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8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8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8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8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8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8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8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8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8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8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8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</sheetData>
  <mergeCells count="1">
    <mergeCell ref="I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5"/>
  <sheetViews>
    <sheetView workbookViewId="0"/>
  </sheetViews>
  <sheetFormatPr defaultColWidth="12.5703125" defaultRowHeight="15.75" customHeight="1" x14ac:dyDescent="0.2"/>
  <cols>
    <col min="1" max="1" width="17.85546875" customWidth="1"/>
    <col min="2" max="3" width="13.5703125" customWidth="1"/>
    <col min="4" max="4" width="17" customWidth="1"/>
    <col min="5" max="6" width="13.5703125" customWidth="1"/>
  </cols>
  <sheetData>
    <row r="1" spans="1:26" ht="30" customHeight="1" x14ac:dyDescent="0.2">
      <c r="A1" s="82" t="s">
        <v>244</v>
      </c>
      <c r="B1" s="83"/>
      <c r="C1" s="83"/>
      <c r="D1" s="83"/>
      <c r="E1" s="83"/>
      <c r="F1" s="84"/>
    </row>
    <row r="2" spans="1:26" ht="30" customHeight="1" x14ac:dyDescent="0.2">
      <c r="A2" s="85"/>
      <c r="B2" s="86"/>
      <c r="C2" s="86"/>
      <c r="D2" s="86"/>
      <c r="E2" s="86"/>
      <c r="F2" s="87"/>
    </row>
    <row r="3" spans="1:26" ht="30.75" customHeight="1" x14ac:dyDescent="0.2">
      <c r="A3" s="88" t="s">
        <v>245</v>
      </c>
      <c r="B3" s="75"/>
      <c r="C3" s="75"/>
      <c r="D3" s="75"/>
      <c r="E3" s="75"/>
      <c r="F3" s="75"/>
    </row>
    <row r="4" spans="1:26" ht="36.75" customHeight="1" x14ac:dyDescent="0.2">
      <c r="A4" s="22" t="s">
        <v>246</v>
      </c>
      <c r="B4" s="89" t="s">
        <v>55</v>
      </c>
      <c r="C4" s="77"/>
      <c r="D4" s="22" t="s">
        <v>247</v>
      </c>
      <c r="E4" s="76"/>
      <c r="F4" s="77"/>
    </row>
    <row r="5" spans="1:26" ht="36.75" customHeight="1" x14ac:dyDescent="0.2">
      <c r="A5" s="22" t="s">
        <v>8</v>
      </c>
      <c r="B5" s="89" t="e">
        <f t="array" aca="1" ref="B5" ca="1">_xludf.xlookup(B4,Table1[Name],Table1[Class])</f>
        <v>#NAME?</v>
      </c>
      <c r="C5" s="77"/>
      <c r="D5" s="22" t="s">
        <v>9</v>
      </c>
      <c r="E5" s="90" t="e">
        <f t="array" aca="1" ref="E5" ca="1">_xludf.xlookup(B4,Table1[Name],Table1[PHONE])</f>
        <v>#NAME?</v>
      </c>
      <c r="F5" s="77"/>
    </row>
    <row r="6" spans="1:26" ht="36.75" customHeight="1" x14ac:dyDescent="0.2">
      <c r="A6" s="22" t="s">
        <v>248</v>
      </c>
      <c r="B6" s="89" t="e">
        <f t="array" aca="1" ref="B6" ca="1">_xludf.xlookup(B4,Table1[Name],Table1[Name of Father])</f>
        <v>#NAME?</v>
      </c>
      <c r="C6" s="77"/>
      <c r="D6" s="22" t="s">
        <v>249</v>
      </c>
      <c r="E6" s="76" t="e">
        <f t="array" aca="1" ref="E6" ca="1">_xludf.xlookup(B4,Table1[Name],Table1[DISTRICT])</f>
        <v>#NAME?</v>
      </c>
      <c r="F6" s="77"/>
    </row>
    <row r="7" spans="1:26" ht="36.75" customHeight="1" x14ac:dyDescent="0.2">
      <c r="A7" s="22" t="s">
        <v>250</v>
      </c>
      <c r="B7" s="78" t="e">
        <f t="array" aca="1" ref="B7" ca="1">_xludf.xlookup(B4,Table1[Name],Table1[ADDRESS])</f>
        <v>#NAME?</v>
      </c>
      <c r="C7" s="79"/>
      <c r="D7" s="79"/>
      <c r="E7" s="79"/>
      <c r="F7" s="77"/>
    </row>
    <row r="8" spans="1:26" ht="36" customHeight="1" x14ac:dyDescent="0.2">
      <c r="A8" s="23" t="s">
        <v>251</v>
      </c>
      <c r="B8" s="23" t="s">
        <v>252</v>
      </c>
      <c r="C8" s="23" t="s">
        <v>253</v>
      </c>
      <c r="D8" s="23" t="s">
        <v>251</v>
      </c>
      <c r="E8" s="23" t="s">
        <v>252</v>
      </c>
      <c r="F8" s="23" t="s">
        <v>253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36.75" customHeight="1" x14ac:dyDescent="0.2">
      <c r="A9" s="25">
        <v>46174</v>
      </c>
      <c r="B9" s="26" t="e">
        <f t="array" aca="1" ref="B9" ca="1">_xludf.xlookup(B4,Table1[Name],Table1[JUNE])</f>
        <v>#NAME?</v>
      </c>
      <c r="C9" s="26" t="e">
        <f t="array" aca="1" ref="C9" ca="1">_xludf.xlookup(B4,Table1[Name],Table1[JuneReciept])</f>
        <v>#NAME?</v>
      </c>
      <c r="D9" s="25">
        <v>46357</v>
      </c>
      <c r="E9" s="26" t="e">
        <f t="array" aca="1" ref="E9" ca="1">_xludf.xlookup(B4,Table1[Name],Table1[DEC])</f>
        <v>#NAME?</v>
      </c>
      <c r="F9" s="26"/>
    </row>
    <row r="10" spans="1:26" ht="36.75" customHeight="1" x14ac:dyDescent="0.2">
      <c r="A10" s="25">
        <v>46204</v>
      </c>
      <c r="B10" s="26" t="e">
        <f t="array" aca="1" ref="B10" ca="1">_xludf.xlookup(B4,Table1[Name],Table1[JULY])</f>
        <v>#NAME?</v>
      </c>
      <c r="C10" s="26"/>
      <c r="D10" s="25">
        <v>46388</v>
      </c>
      <c r="E10" s="26" t="e">
        <f t="array" aca="1" ref="E10" ca="1">_xludf.xlookup(B4,Table1[Name],Table1[Jan])</f>
        <v>#NAME?</v>
      </c>
      <c r="F10" s="26"/>
    </row>
    <row r="11" spans="1:26" ht="36.75" customHeight="1" x14ac:dyDescent="0.2">
      <c r="A11" s="25">
        <v>46235</v>
      </c>
      <c r="B11" s="26" t="e">
        <f t="array" aca="1" ref="B11" ca="1">_xludf.xlookup(B4,Table1[Name],Table1[AUG])</f>
        <v>#NAME?</v>
      </c>
      <c r="C11" s="26"/>
      <c r="D11" s="25">
        <v>46419</v>
      </c>
      <c r="E11" s="26" t="e">
        <f t="array" aca="1" ref="E11" ca="1">_xludf.xlookup(B4,Table1[Name],Table1[FEB])</f>
        <v>#NAME?</v>
      </c>
      <c r="F11" s="26"/>
    </row>
    <row r="12" spans="1:26" ht="36.75" customHeight="1" x14ac:dyDescent="0.2">
      <c r="A12" s="25">
        <v>46266</v>
      </c>
      <c r="B12" s="26" t="e">
        <f t="array" aca="1" ref="B12" ca="1">_xludf.xlookup(B4,Table1[Name],Table1[SEP])</f>
        <v>#NAME?</v>
      </c>
      <c r="C12" s="26"/>
      <c r="D12" s="25">
        <v>46447</v>
      </c>
      <c r="E12" s="26" t="e">
        <f t="array" aca="1" ref="E12" ca="1">_xludf.xlookup(B4,Table1[Name],Table1[MAR])</f>
        <v>#NAME?</v>
      </c>
      <c r="F12" s="26"/>
    </row>
    <row r="13" spans="1:26" ht="36.75" customHeight="1" x14ac:dyDescent="0.2">
      <c r="A13" s="25">
        <v>46296</v>
      </c>
      <c r="B13" s="26" t="e">
        <f t="array" aca="1" ref="B13" ca="1">_xludf.xlookup(B4,Table1[Name],Table1[OCT])</f>
        <v>#NAME?</v>
      </c>
      <c r="C13" s="26"/>
      <c r="D13" s="25">
        <v>46478</v>
      </c>
      <c r="E13" s="26" t="e">
        <f t="array" aca="1" ref="E13" ca="1">_xludf.xlookup(B4,Table1[Name],Table1[APR])</f>
        <v>#NAME?</v>
      </c>
      <c r="F13" s="26"/>
    </row>
    <row r="14" spans="1:26" ht="36.75" customHeight="1" x14ac:dyDescent="0.2">
      <c r="A14" s="25">
        <v>46327</v>
      </c>
      <c r="B14" s="26" t="e">
        <f t="array" aca="1" ref="B14" ca="1">_xludf.xlookup(B4,Table1[Name],Table1[NOV])</f>
        <v>#NAME?</v>
      </c>
      <c r="C14" s="26"/>
      <c r="D14" s="25">
        <v>46508</v>
      </c>
      <c r="E14" s="26" t="e">
        <f t="array" aca="1" ref="E14" ca="1">_xludf.xlookup(B4,Table1[Name],Table1[May])</f>
        <v>#NAME?</v>
      </c>
      <c r="F14" s="26"/>
    </row>
    <row r="15" spans="1:26" ht="30.75" customHeight="1" x14ac:dyDescent="0.2">
      <c r="A15" s="80" t="s">
        <v>254</v>
      </c>
      <c r="B15" s="79"/>
      <c r="C15" s="79"/>
      <c r="D15" s="27">
        <f ca="1">TODAY()</f>
        <v>46181</v>
      </c>
      <c r="E15" s="81" t="e">
        <f t="array" aca="1" ref="E15" ca="1">_xludf.xlookup(B4,Sheet1!C4:C184,Sheet1!J4:J184)</f>
        <v>#NAME?</v>
      </c>
      <c r="F15" s="77"/>
    </row>
  </sheetData>
  <mergeCells count="11">
    <mergeCell ref="E6:F6"/>
    <mergeCell ref="B7:F7"/>
    <mergeCell ref="A15:C15"/>
    <mergeCell ref="E15:F15"/>
    <mergeCell ref="A1:F2"/>
    <mergeCell ref="A3:F3"/>
    <mergeCell ref="B4:C4"/>
    <mergeCell ref="E4:F4"/>
    <mergeCell ref="B5:C5"/>
    <mergeCell ref="E5:F5"/>
    <mergeCell ref="B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00"/>
  <sheetViews>
    <sheetView workbookViewId="0"/>
  </sheetViews>
  <sheetFormatPr defaultColWidth="12.5703125" defaultRowHeight="15.75" customHeight="1" x14ac:dyDescent="0.2"/>
  <cols>
    <col min="1" max="1" width="5.5703125" customWidth="1"/>
    <col min="2" max="2" width="32.7109375" customWidth="1"/>
    <col min="3" max="3" width="8" customWidth="1"/>
    <col min="4" max="4" width="25.85546875" customWidth="1"/>
    <col min="5" max="5" width="36" customWidth="1"/>
    <col min="6" max="6" width="22.28515625" customWidth="1"/>
    <col min="7" max="7" width="14.42578125" customWidth="1"/>
  </cols>
  <sheetData>
    <row r="1" spans="1:16" ht="29.25" customHeight="1" x14ac:dyDescent="0.2">
      <c r="A1" s="28" t="s">
        <v>255</v>
      </c>
      <c r="B1" s="28" t="s">
        <v>256</v>
      </c>
      <c r="C1" s="29"/>
      <c r="D1" s="30" t="s">
        <v>257</v>
      </c>
      <c r="E1" s="22" t="s">
        <v>250</v>
      </c>
      <c r="F1" s="31" t="s">
        <v>258</v>
      </c>
      <c r="G1" s="29" t="s">
        <v>9</v>
      </c>
      <c r="H1" s="32"/>
      <c r="I1" s="32"/>
      <c r="J1" s="32"/>
      <c r="K1" s="32"/>
      <c r="L1" s="32"/>
      <c r="M1" s="32"/>
      <c r="N1" s="32"/>
      <c r="O1" s="32"/>
      <c r="P1" s="32"/>
    </row>
    <row r="2" spans="1:16" ht="29.25" customHeight="1" x14ac:dyDescent="0.2">
      <c r="A2" s="29">
        <v>1</v>
      </c>
      <c r="B2" s="33" t="s">
        <v>187</v>
      </c>
      <c r="C2" s="29"/>
      <c r="D2" s="29"/>
      <c r="E2" s="22" t="s">
        <v>259</v>
      </c>
      <c r="F2" s="34"/>
      <c r="G2" s="35" t="s">
        <v>259</v>
      </c>
      <c r="H2" s="32"/>
      <c r="I2" s="32"/>
      <c r="J2" s="32"/>
      <c r="K2" s="32"/>
      <c r="L2" s="32"/>
      <c r="M2" s="32"/>
      <c r="N2" s="32"/>
      <c r="O2" s="32"/>
      <c r="P2" s="32"/>
    </row>
    <row r="3" spans="1:16" ht="29.25" customHeight="1" x14ac:dyDescent="0.2">
      <c r="A3" s="36">
        <v>2</v>
      </c>
      <c r="B3" s="33" t="s">
        <v>199</v>
      </c>
      <c r="C3" s="37" t="s">
        <v>260</v>
      </c>
      <c r="D3" s="29" t="s">
        <v>261</v>
      </c>
      <c r="E3" s="22" t="s">
        <v>262</v>
      </c>
      <c r="F3" s="38" t="s">
        <v>263</v>
      </c>
      <c r="G3" s="39" t="s">
        <v>264</v>
      </c>
      <c r="H3" s="32"/>
      <c r="I3" s="32"/>
      <c r="J3" s="32"/>
      <c r="K3" s="32"/>
      <c r="L3" s="32"/>
      <c r="M3" s="32"/>
      <c r="N3" s="32"/>
      <c r="O3" s="32"/>
      <c r="P3" s="32"/>
    </row>
    <row r="4" spans="1:16" ht="29.25" customHeight="1" x14ac:dyDescent="0.2">
      <c r="A4" s="29">
        <v>3</v>
      </c>
      <c r="B4" s="33" t="s">
        <v>232</v>
      </c>
      <c r="C4" s="40" t="s">
        <v>265</v>
      </c>
      <c r="D4" s="29"/>
      <c r="E4" s="22" t="s">
        <v>266</v>
      </c>
      <c r="F4" s="41" t="s">
        <v>267</v>
      </c>
      <c r="G4" s="39" t="s">
        <v>268</v>
      </c>
      <c r="H4" s="32"/>
      <c r="I4" s="32"/>
      <c r="J4" s="32"/>
      <c r="K4" s="32"/>
      <c r="L4" s="32"/>
      <c r="M4" s="32"/>
      <c r="N4" s="32"/>
      <c r="O4" s="32"/>
      <c r="P4" s="32"/>
    </row>
    <row r="5" spans="1:16" ht="29.25" customHeight="1" x14ac:dyDescent="0.2">
      <c r="A5" s="36">
        <v>4</v>
      </c>
      <c r="B5" s="33" t="s">
        <v>35</v>
      </c>
      <c r="C5" s="37" t="s">
        <v>269</v>
      </c>
      <c r="D5" s="29" t="s">
        <v>270</v>
      </c>
      <c r="E5" s="22" t="s">
        <v>271</v>
      </c>
      <c r="F5" s="42" t="s">
        <v>272</v>
      </c>
      <c r="G5" s="39">
        <v>9496432300</v>
      </c>
      <c r="H5" s="32"/>
      <c r="I5" s="32"/>
      <c r="J5" s="32"/>
      <c r="K5" s="32"/>
      <c r="L5" s="32"/>
      <c r="M5" s="32"/>
      <c r="N5" s="32"/>
      <c r="O5" s="32"/>
      <c r="P5" s="32"/>
    </row>
    <row r="6" spans="1:16" ht="29.25" customHeight="1" x14ac:dyDescent="0.2">
      <c r="A6" s="29">
        <v>5</v>
      </c>
      <c r="B6" s="33" t="s">
        <v>136</v>
      </c>
      <c r="C6" s="40" t="s">
        <v>118</v>
      </c>
      <c r="D6" s="29" t="s">
        <v>273</v>
      </c>
      <c r="E6" s="22" t="s">
        <v>274</v>
      </c>
      <c r="F6" s="41" t="s">
        <v>275</v>
      </c>
      <c r="G6" s="39" t="s">
        <v>276</v>
      </c>
      <c r="H6" s="32"/>
      <c r="I6" s="32"/>
      <c r="J6" s="32"/>
      <c r="K6" s="32"/>
      <c r="L6" s="32"/>
      <c r="M6" s="32"/>
      <c r="N6" s="32"/>
      <c r="O6" s="32"/>
      <c r="P6" s="32"/>
    </row>
    <row r="7" spans="1:16" ht="29.25" customHeight="1" x14ac:dyDescent="0.2">
      <c r="A7" s="36">
        <v>6</v>
      </c>
      <c r="B7" s="33" t="s">
        <v>100</v>
      </c>
      <c r="C7" s="40" t="s">
        <v>277</v>
      </c>
      <c r="D7" s="29" t="s">
        <v>278</v>
      </c>
      <c r="E7" s="22" t="s">
        <v>279</v>
      </c>
      <c r="F7" s="43" t="s">
        <v>280</v>
      </c>
      <c r="G7" s="39" t="s">
        <v>281</v>
      </c>
      <c r="H7" s="32"/>
      <c r="I7" s="32"/>
      <c r="J7" s="32"/>
      <c r="K7" s="32"/>
      <c r="L7" s="32"/>
      <c r="M7" s="32"/>
      <c r="N7" s="32"/>
      <c r="O7" s="32"/>
      <c r="P7" s="32"/>
    </row>
    <row r="8" spans="1:16" ht="29.25" customHeight="1" x14ac:dyDescent="0.2">
      <c r="A8" s="29">
        <v>7</v>
      </c>
      <c r="B8" s="33" t="s">
        <v>37</v>
      </c>
      <c r="C8" s="37" t="s">
        <v>269</v>
      </c>
      <c r="D8" s="29" t="s">
        <v>282</v>
      </c>
      <c r="E8" s="22" t="s">
        <v>283</v>
      </c>
      <c r="F8" s="42" t="s">
        <v>284</v>
      </c>
      <c r="G8" s="39"/>
      <c r="H8" s="32"/>
      <c r="I8" s="32"/>
      <c r="J8" s="32"/>
      <c r="K8" s="32"/>
      <c r="L8" s="32"/>
      <c r="M8" s="32"/>
      <c r="N8" s="32"/>
      <c r="O8" s="32"/>
      <c r="P8" s="32"/>
    </row>
    <row r="9" spans="1:16" ht="29.25" customHeight="1" x14ac:dyDescent="0.2">
      <c r="A9" s="36">
        <v>8</v>
      </c>
      <c r="B9" s="33" t="s">
        <v>179</v>
      </c>
      <c r="C9" s="40" t="s">
        <v>118</v>
      </c>
      <c r="D9" s="29" t="s">
        <v>285</v>
      </c>
      <c r="E9" s="22" t="s">
        <v>286</v>
      </c>
      <c r="F9" s="41" t="s">
        <v>287</v>
      </c>
      <c r="G9" s="39" t="s">
        <v>288</v>
      </c>
      <c r="H9" s="32"/>
      <c r="I9" s="32"/>
      <c r="J9" s="32"/>
      <c r="K9" s="32"/>
      <c r="L9" s="32"/>
      <c r="M9" s="32"/>
      <c r="N9" s="32"/>
      <c r="O9" s="32"/>
      <c r="P9" s="32"/>
    </row>
    <row r="10" spans="1:16" ht="29.25" customHeight="1" x14ac:dyDescent="0.2">
      <c r="A10" s="29">
        <v>9</v>
      </c>
      <c r="B10" s="33" t="s">
        <v>181</v>
      </c>
      <c r="C10" s="40" t="s">
        <v>118</v>
      </c>
      <c r="D10" s="29" t="s">
        <v>289</v>
      </c>
      <c r="E10" s="22" t="s">
        <v>290</v>
      </c>
      <c r="F10" s="41" t="s">
        <v>287</v>
      </c>
      <c r="G10" s="39" t="s">
        <v>291</v>
      </c>
      <c r="H10" s="32"/>
      <c r="I10" s="32"/>
      <c r="J10" s="32"/>
      <c r="K10" s="32"/>
      <c r="L10" s="32"/>
      <c r="M10" s="32"/>
      <c r="N10" s="32"/>
      <c r="O10" s="32"/>
      <c r="P10" s="32"/>
    </row>
    <row r="11" spans="1:16" ht="29.25" customHeight="1" x14ac:dyDescent="0.2">
      <c r="A11" s="36">
        <v>10</v>
      </c>
      <c r="B11" s="33" t="s">
        <v>81</v>
      </c>
      <c r="C11" s="40" t="s">
        <v>292</v>
      </c>
      <c r="D11" s="29" t="s">
        <v>293</v>
      </c>
      <c r="E11" s="22" t="s">
        <v>294</v>
      </c>
      <c r="F11" s="43" t="s">
        <v>295</v>
      </c>
      <c r="G11" s="39" t="s">
        <v>296</v>
      </c>
      <c r="H11" s="32"/>
      <c r="I11" s="32"/>
      <c r="J11" s="32"/>
      <c r="K11" s="32"/>
      <c r="L11" s="32"/>
      <c r="M11" s="32"/>
      <c r="N11" s="32"/>
      <c r="O11" s="32"/>
      <c r="P11" s="32"/>
    </row>
    <row r="12" spans="1:16" ht="29.25" customHeight="1" x14ac:dyDescent="0.2">
      <c r="A12" s="29">
        <v>11</v>
      </c>
      <c r="B12" s="33" t="s">
        <v>58</v>
      </c>
      <c r="C12" s="29" t="s">
        <v>297</v>
      </c>
      <c r="D12" s="29"/>
      <c r="E12" s="22" t="s">
        <v>259</v>
      </c>
      <c r="F12" s="34"/>
      <c r="G12" s="39" t="s">
        <v>259</v>
      </c>
      <c r="H12" s="32"/>
      <c r="I12" s="32"/>
      <c r="J12" s="32"/>
      <c r="K12" s="32"/>
      <c r="L12" s="32"/>
      <c r="M12" s="32"/>
      <c r="N12" s="32"/>
      <c r="O12" s="32"/>
      <c r="P12" s="32"/>
    </row>
    <row r="13" spans="1:16" ht="29.25" customHeight="1" x14ac:dyDescent="0.2">
      <c r="A13" s="36">
        <v>12</v>
      </c>
      <c r="B13" s="33" t="s">
        <v>117</v>
      </c>
      <c r="C13" s="40" t="s">
        <v>298</v>
      </c>
      <c r="D13" s="29" t="s">
        <v>299</v>
      </c>
      <c r="E13" s="22" t="s">
        <v>300</v>
      </c>
      <c r="F13" s="34" t="s">
        <v>301</v>
      </c>
      <c r="G13" s="39">
        <v>9995505516</v>
      </c>
      <c r="H13" s="32"/>
      <c r="I13" s="32"/>
      <c r="J13" s="32"/>
      <c r="K13" s="32"/>
      <c r="L13" s="32"/>
      <c r="M13" s="32"/>
      <c r="N13" s="32"/>
      <c r="O13" s="32"/>
      <c r="P13" s="32"/>
    </row>
    <row r="14" spans="1:16" ht="29.25" customHeight="1" x14ac:dyDescent="0.2">
      <c r="A14" s="29">
        <v>13</v>
      </c>
      <c r="B14" s="33" t="s">
        <v>302</v>
      </c>
      <c r="C14" s="40" t="s">
        <v>277</v>
      </c>
      <c r="D14" s="29" t="s">
        <v>303</v>
      </c>
      <c r="E14" s="22" t="s">
        <v>304</v>
      </c>
      <c r="F14" s="43" t="s">
        <v>305</v>
      </c>
      <c r="G14" s="39" t="s">
        <v>306</v>
      </c>
      <c r="H14" s="32"/>
      <c r="I14" s="32"/>
      <c r="J14" s="32"/>
      <c r="K14" s="32"/>
      <c r="L14" s="32"/>
      <c r="M14" s="32"/>
      <c r="N14" s="32"/>
      <c r="O14" s="32"/>
      <c r="P14" s="32"/>
    </row>
    <row r="15" spans="1:16" ht="29.25" customHeight="1" x14ac:dyDescent="0.2">
      <c r="A15" s="36">
        <v>14</v>
      </c>
      <c r="B15" s="33" t="s">
        <v>102</v>
      </c>
      <c r="C15" s="40" t="s">
        <v>277</v>
      </c>
      <c r="D15" s="29" t="s">
        <v>307</v>
      </c>
      <c r="E15" s="22" t="s">
        <v>308</v>
      </c>
      <c r="F15" s="41" t="s">
        <v>287</v>
      </c>
      <c r="G15" s="39" t="s">
        <v>309</v>
      </c>
      <c r="H15" s="32"/>
      <c r="I15" s="32"/>
      <c r="J15" s="32"/>
      <c r="K15" s="32"/>
      <c r="L15" s="32"/>
      <c r="M15" s="32"/>
      <c r="N15" s="32"/>
      <c r="O15" s="32"/>
      <c r="P15" s="32"/>
    </row>
    <row r="16" spans="1:16" ht="29.25" customHeight="1" x14ac:dyDescent="0.2">
      <c r="A16" s="29">
        <v>15</v>
      </c>
      <c r="B16" s="33" t="s">
        <v>169</v>
      </c>
      <c r="C16" s="40" t="s">
        <v>118</v>
      </c>
      <c r="D16" s="29" t="s">
        <v>310</v>
      </c>
      <c r="E16" s="22" t="s">
        <v>311</v>
      </c>
      <c r="F16" s="41" t="s">
        <v>312</v>
      </c>
      <c r="G16" s="39" t="s">
        <v>313</v>
      </c>
      <c r="H16" s="32"/>
      <c r="I16" s="32"/>
      <c r="J16" s="32"/>
      <c r="K16" s="32"/>
      <c r="L16" s="32"/>
      <c r="M16" s="32"/>
      <c r="N16" s="32"/>
      <c r="O16" s="32"/>
      <c r="P16" s="32"/>
    </row>
    <row r="17" spans="1:16" ht="29.25" customHeight="1" x14ac:dyDescent="0.2">
      <c r="A17" s="36">
        <v>16</v>
      </c>
      <c r="B17" s="33" t="s">
        <v>138</v>
      </c>
      <c r="C17" s="40" t="s">
        <v>118</v>
      </c>
      <c r="D17" s="29" t="s">
        <v>314</v>
      </c>
      <c r="E17" s="22" t="s">
        <v>315</v>
      </c>
      <c r="F17" s="41" t="s">
        <v>316</v>
      </c>
      <c r="G17" s="39" t="s">
        <v>317</v>
      </c>
      <c r="H17" s="32"/>
      <c r="I17" s="32"/>
      <c r="J17" s="32"/>
      <c r="K17" s="32"/>
      <c r="L17" s="32"/>
      <c r="M17" s="32"/>
      <c r="N17" s="32"/>
      <c r="O17" s="32"/>
      <c r="P17" s="32"/>
    </row>
    <row r="18" spans="1:16" ht="29.25" customHeight="1" x14ac:dyDescent="0.2">
      <c r="A18" s="29">
        <v>17</v>
      </c>
      <c r="B18" s="33" t="s">
        <v>140</v>
      </c>
      <c r="C18" s="40" t="s">
        <v>118</v>
      </c>
      <c r="D18" s="29"/>
      <c r="E18" s="22" t="s">
        <v>259</v>
      </c>
      <c r="F18" s="41" t="s">
        <v>316</v>
      </c>
      <c r="G18" s="39" t="s">
        <v>259</v>
      </c>
      <c r="H18" s="32"/>
      <c r="I18" s="32"/>
      <c r="J18" s="32"/>
      <c r="K18" s="32"/>
      <c r="L18" s="32"/>
      <c r="M18" s="32"/>
      <c r="N18" s="32"/>
      <c r="O18" s="32"/>
      <c r="P18" s="32"/>
    </row>
    <row r="19" spans="1:16" ht="29.25" customHeight="1" x14ac:dyDescent="0.2">
      <c r="A19" s="36">
        <v>18</v>
      </c>
      <c r="B19" s="33" t="s">
        <v>83</v>
      </c>
      <c r="C19" s="40" t="s">
        <v>292</v>
      </c>
      <c r="D19" s="29" t="s">
        <v>318</v>
      </c>
      <c r="E19" s="22" t="s">
        <v>319</v>
      </c>
      <c r="F19" s="43" t="s">
        <v>301</v>
      </c>
      <c r="G19" s="39" t="s">
        <v>320</v>
      </c>
      <c r="H19" s="32"/>
      <c r="I19" s="32"/>
      <c r="J19" s="32"/>
      <c r="K19" s="32"/>
      <c r="L19" s="32"/>
      <c r="M19" s="32"/>
      <c r="N19" s="32"/>
      <c r="O19" s="32"/>
      <c r="P19" s="32"/>
    </row>
    <row r="20" spans="1:16" ht="29.25" customHeight="1" x14ac:dyDescent="0.2">
      <c r="A20" s="29">
        <v>19</v>
      </c>
      <c r="B20" s="33" t="s">
        <v>103</v>
      </c>
      <c r="C20" s="40" t="s">
        <v>277</v>
      </c>
      <c r="D20" s="29" t="s">
        <v>321</v>
      </c>
      <c r="E20" s="22" t="s">
        <v>322</v>
      </c>
      <c r="F20" s="43" t="s">
        <v>275</v>
      </c>
      <c r="G20" s="39" t="s">
        <v>323</v>
      </c>
      <c r="H20" s="32"/>
      <c r="I20" s="32"/>
      <c r="J20" s="32"/>
      <c r="K20" s="32"/>
      <c r="L20" s="32"/>
      <c r="M20" s="32"/>
      <c r="N20" s="32"/>
      <c r="O20" s="32"/>
      <c r="P20" s="32"/>
    </row>
    <row r="21" spans="1:16" ht="29.25" customHeight="1" x14ac:dyDescent="0.2">
      <c r="A21" s="36">
        <v>20</v>
      </c>
      <c r="B21" s="33" t="s">
        <v>201</v>
      </c>
      <c r="C21" s="37" t="s">
        <v>260</v>
      </c>
      <c r="D21" s="29" t="s">
        <v>324</v>
      </c>
      <c r="E21" s="22" t="s">
        <v>325</v>
      </c>
      <c r="F21" s="38" t="s">
        <v>280</v>
      </c>
      <c r="G21" s="39" t="s">
        <v>326</v>
      </c>
      <c r="H21" s="32"/>
      <c r="I21" s="32"/>
      <c r="J21" s="32"/>
      <c r="K21" s="32"/>
      <c r="L21" s="32"/>
      <c r="M21" s="32"/>
      <c r="N21" s="32"/>
      <c r="O21" s="32"/>
      <c r="P21" s="32"/>
    </row>
    <row r="22" spans="1:16" ht="29.25" customHeight="1" x14ac:dyDescent="0.2">
      <c r="A22" s="29">
        <v>21</v>
      </c>
      <c r="B22" s="33" t="s">
        <v>119</v>
      </c>
      <c r="C22" s="40" t="s">
        <v>298</v>
      </c>
      <c r="D22" s="29" t="s">
        <v>259</v>
      </c>
      <c r="E22" s="22"/>
      <c r="F22" s="34"/>
      <c r="G22" s="44"/>
      <c r="H22" s="32"/>
      <c r="I22" s="32"/>
      <c r="J22" s="32"/>
      <c r="K22" s="32"/>
      <c r="L22" s="32"/>
      <c r="M22" s="32"/>
      <c r="N22" s="32"/>
      <c r="O22" s="32"/>
      <c r="P22" s="32"/>
    </row>
    <row r="23" spans="1:16" ht="29.25" customHeight="1" x14ac:dyDescent="0.2">
      <c r="A23" s="36">
        <v>22</v>
      </c>
      <c r="B23" s="33" t="s">
        <v>84</v>
      </c>
      <c r="C23" s="40" t="s">
        <v>292</v>
      </c>
      <c r="D23" s="29" t="s">
        <v>327</v>
      </c>
      <c r="E23" s="22" t="s">
        <v>328</v>
      </c>
      <c r="F23" s="43" t="s">
        <v>301</v>
      </c>
      <c r="G23" s="39" t="s">
        <v>329</v>
      </c>
      <c r="H23" s="32"/>
      <c r="I23" s="32"/>
      <c r="J23" s="32"/>
      <c r="K23" s="32"/>
      <c r="L23" s="32"/>
      <c r="M23" s="32"/>
      <c r="N23" s="32"/>
      <c r="O23" s="32"/>
      <c r="P23" s="32"/>
    </row>
    <row r="24" spans="1:16" ht="29.25" customHeight="1" x14ac:dyDescent="0.2">
      <c r="A24" s="29">
        <v>23</v>
      </c>
      <c r="B24" s="33" t="s">
        <v>60</v>
      </c>
      <c r="C24" s="37" t="s">
        <v>297</v>
      </c>
      <c r="D24" s="29" t="s">
        <v>330</v>
      </c>
      <c r="E24" s="22" t="s">
        <v>331</v>
      </c>
      <c r="F24" s="42" t="s">
        <v>272</v>
      </c>
      <c r="G24" s="39">
        <v>8281750889</v>
      </c>
      <c r="H24" s="32"/>
      <c r="I24" s="32"/>
      <c r="J24" s="32"/>
      <c r="K24" s="32"/>
      <c r="L24" s="32"/>
      <c r="M24" s="32"/>
      <c r="N24" s="32"/>
      <c r="O24" s="32"/>
      <c r="P24" s="32"/>
    </row>
    <row r="25" spans="1:16" ht="29.25" customHeight="1" x14ac:dyDescent="0.2">
      <c r="A25" s="36">
        <v>24</v>
      </c>
      <c r="B25" s="33" t="s">
        <v>61</v>
      </c>
      <c r="C25" s="37" t="s">
        <v>297</v>
      </c>
      <c r="D25" s="29" t="s">
        <v>332</v>
      </c>
      <c r="E25" s="22" t="s">
        <v>333</v>
      </c>
      <c r="F25" s="42" t="s">
        <v>284</v>
      </c>
      <c r="G25" s="39"/>
      <c r="H25" s="32"/>
      <c r="I25" s="32"/>
      <c r="J25" s="32"/>
      <c r="K25" s="32"/>
      <c r="L25" s="32"/>
      <c r="M25" s="32"/>
      <c r="N25" s="32"/>
      <c r="O25" s="32"/>
      <c r="P25" s="32"/>
    </row>
    <row r="26" spans="1:16" ht="29.25" customHeight="1" x14ac:dyDescent="0.2">
      <c r="A26" s="29">
        <v>25</v>
      </c>
      <c r="B26" s="33" t="s">
        <v>120</v>
      </c>
      <c r="C26" s="40" t="s">
        <v>298</v>
      </c>
      <c r="D26" s="29" t="s">
        <v>334</v>
      </c>
      <c r="E26" s="22" t="s">
        <v>335</v>
      </c>
      <c r="F26" s="41" t="s">
        <v>287</v>
      </c>
      <c r="G26" s="39" t="s">
        <v>336</v>
      </c>
      <c r="H26" s="32"/>
      <c r="I26" s="32"/>
      <c r="J26" s="32"/>
      <c r="K26" s="32"/>
      <c r="L26" s="32"/>
      <c r="M26" s="32"/>
      <c r="N26" s="32"/>
      <c r="O26" s="32"/>
      <c r="P26" s="32"/>
    </row>
    <row r="27" spans="1:16" ht="29.25" customHeight="1" x14ac:dyDescent="0.2">
      <c r="A27" s="36">
        <v>26</v>
      </c>
      <c r="B27" s="33" t="s">
        <v>202</v>
      </c>
      <c r="C27" s="37" t="s">
        <v>260</v>
      </c>
      <c r="D27" s="29" t="s">
        <v>337</v>
      </c>
      <c r="E27" s="22" t="s">
        <v>338</v>
      </c>
      <c r="F27" s="38" t="s">
        <v>339</v>
      </c>
      <c r="G27" s="39" t="s">
        <v>340</v>
      </c>
      <c r="H27" s="32"/>
      <c r="I27" s="32"/>
      <c r="J27" s="32"/>
      <c r="K27" s="32"/>
      <c r="L27" s="32"/>
      <c r="M27" s="32"/>
      <c r="N27" s="32"/>
      <c r="O27" s="32"/>
      <c r="P27" s="32"/>
    </row>
    <row r="28" spans="1:16" ht="29.25" customHeight="1" x14ac:dyDescent="0.2">
      <c r="A28" s="29">
        <v>27</v>
      </c>
      <c r="B28" s="33" t="s">
        <v>203</v>
      </c>
      <c r="C28" s="37" t="s">
        <v>260</v>
      </c>
      <c r="D28" s="29" t="s">
        <v>341</v>
      </c>
      <c r="E28" s="22" t="s">
        <v>342</v>
      </c>
      <c r="F28" s="38" t="s">
        <v>343</v>
      </c>
      <c r="G28" s="39" t="s">
        <v>344</v>
      </c>
      <c r="H28" s="32"/>
      <c r="I28" s="32"/>
      <c r="J28" s="32"/>
      <c r="K28" s="32"/>
      <c r="L28" s="32"/>
      <c r="M28" s="32"/>
      <c r="N28" s="32"/>
      <c r="O28" s="32"/>
      <c r="P28" s="32"/>
    </row>
    <row r="29" spans="1:16" ht="29.25" customHeight="1" x14ac:dyDescent="0.2">
      <c r="A29" s="36">
        <v>28</v>
      </c>
      <c r="B29" s="33" t="s">
        <v>162</v>
      </c>
      <c r="C29" s="40" t="s">
        <v>118</v>
      </c>
      <c r="D29" s="29" t="s">
        <v>345</v>
      </c>
      <c r="E29" s="22" t="s">
        <v>346</v>
      </c>
      <c r="F29" s="41" t="s">
        <v>301</v>
      </c>
      <c r="G29" s="39" t="s">
        <v>347</v>
      </c>
      <c r="H29" s="32"/>
      <c r="I29" s="32"/>
      <c r="J29" s="32"/>
      <c r="K29" s="32"/>
      <c r="L29" s="32"/>
      <c r="M29" s="32"/>
      <c r="N29" s="32"/>
      <c r="O29" s="32"/>
      <c r="P29" s="32"/>
    </row>
    <row r="30" spans="1:16" ht="29.25" customHeight="1" x14ac:dyDescent="0.2">
      <c r="A30" s="29">
        <v>29</v>
      </c>
      <c r="B30" s="33" t="s">
        <v>85</v>
      </c>
      <c r="C30" s="40" t="s">
        <v>292</v>
      </c>
      <c r="D30" s="29" t="s">
        <v>348</v>
      </c>
      <c r="E30" s="22" t="s">
        <v>349</v>
      </c>
      <c r="F30" s="41" t="s">
        <v>287</v>
      </c>
      <c r="G30" s="39" t="s">
        <v>350</v>
      </c>
      <c r="H30" s="32"/>
      <c r="I30" s="32"/>
      <c r="J30" s="32"/>
      <c r="K30" s="32"/>
      <c r="L30" s="32"/>
      <c r="M30" s="32"/>
      <c r="N30" s="32"/>
      <c r="O30" s="32"/>
      <c r="P30" s="32"/>
    </row>
    <row r="31" spans="1:16" ht="29.25" customHeight="1" x14ac:dyDescent="0.2">
      <c r="A31" s="36">
        <v>30</v>
      </c>
      <c r="B31" s="33" t="s">
        <v>204</v>
      </c>
      <c r="C31" s="37" t="s">
        <v>260</v>
      </c>
      <c r="D31" s="29" t="s">
        <v>351</v>
      </c>
      <c r="E31" s="22"/>
      <c r="F31" s="34"/>
      <c r="G31" s="39" t="s">
        <v>352</v>
      </c>
      <c r="H31" s="32"/>
      <c r="I31" s="32"/>
      <c r="J31" s="32"/>
      <c r="K31" s="32"/>
      <c r="L31" s="32"/>
      <c r="M31" s="32"/>
      <c r="N31" s="32"/>
      <c r="O31" s="32"/>
      <c r="P31" s="32"/>
    </row>
    <row r="32" spans="1:16" ht="29.25" customHeight="1" x14ac:dyDescent="0.2">
      <c r="A32" s="29">
        <v>31</v>
      </c>
      <c r="B32" s="33" t="s">
        <v>205</v>
      </c>
      <c r="C32" s="37" t="s">
        <v>260</v>
      </c>
      <c r="D32" s="29" t="s">
        <v>353</v>
      </c>
      <c r="E32" s="22" t="s">
        <v>354</v>
      </c>
      <c r="F32" s="38" t="s">
        <v>280</v>
      </c>
      <c r="G32" s="39" t="s">
        <v>355</v>
      </c>
      <c r="H32" s="32"/>
      <c r="I32" s="32"/>
      <c r="J32" s="32"/>
      <c r="K32" s="32"/>
      <c r="L32" s="32"/>
      <c r="M32" s="32"/>
      <c r="N32" s="32"/>
      <c r="O32" s="32"/>
      <c r="P32" s="32"/>
    </row>
    <row r="33" spans="1:16" ht="29.25" customHeight="1" x14ac:dyDescent="0.2">
      <c r="A33" s="36">
        <v>32</v>
      </c>
      <c r="B33" s="33" t="s">
        <v>189</v>
      </c>
      <c r="C33" s="45" t="s">
        <v>356</v>
      </c>
      <c r="D33" s="29" t="s">
        <v>357</v>
      </c>
      <c r="E33" s="22" t="s">
        <v>358</v>
      </c>
      <c r="F33" s="43" t="s">
        <v>301</v>
      </c>
      <c r="G33" s="39" t="s">
        <v>359</v>
      </c>
      <c r="H33" s="32"/>
      <c r="I33" s="32"/>
      <c r="J33" s="32"/>
      <c r="K33" s="32"/>
      <c r="L33" s="32"/>
      <c r="M33" s="32"/>
      <c r="N33" s="32"/>
      <c r="O33" s="32"/>
      <c r="P33" s="32"/>
    </row>
    <row r="34" spans="1:16" ht="29.25" customHeight="1" x14ac:dyDescent="0.2">
      <c r="A34" s="29">
        <v>33</v>
      </c>
      <c r="B34" s="33" t="s">
        <v>206</v>
      </c>
      <c r="C34" s="37" t="s">
        <v>260</v>
      </c>
      <c r="D34" s="29" t="s">
        <v>360</v>
      </c>
      <c r="E34" s="22" t="s">
        <v>361</v>
      </c>
      <c r="F34" s="38" t="s">
        <v>280</v>
      </c>
      <c r="G34" s="39" t="s">
        <v>362</v>
      </c>
      <c r="H34" s="32"/>
      <c r="I34" s="32"/>
      <c r="J34" s="32"/>
      <c r="K34" s="32"/>
      <c r="L34" s="32"/>
      <c r="M34" s="32"/>
      <c r="N34" s="32"/>
      <c r="O34" s="32"/>
      <c r="P34" s="32"/>
    </row>
    <row r="35" spans="1:16" ht="29.25" customHeight="1" x14ac:dyDescent="0.2">
      <c r="A35" s="36">
        <v>34</v>
      </c>
      <c r="B35" s="33" t="s">
        <v>190</v>
      </c>
      <c r="C35" s="45" t="s">
        <v>356</v>
      </c>
      <c r="D35" s="29" t="s">
        <v>363</v>
      </c>
      <c r="E35" s="22" t="s">
        <v>364</v>
      </c>
      <c r="F35" s="43" t="s">
        <v>301</v>
      </c>
      <c r="G35" s="39" t="s">
        <v>365</v>
      </c>
      <c r="H35" s="32"/>
      <c r="I35" s="32"/>
      <c r="J35" s="32"/>
      <c r="K35" s="32"/>
      <c r="L35" s="32"/>
      <c r="M35" s="32"/>
      <c r="N35" s="32"/>
      <c r="O35" s="32"/>
      <c r="P35" s="32"/>
    </row>
    <row r="36" spans="1:16" ht="29.25" customHeight="1" x14ac:dyDescent="0.2">
      <c r="A36" s="29">
        <v>35</v>
      </c>
      <c r="B36" s="33" t="s">
        <v>207</v>
      </c>
      <c r="C36" s="37" t="s">
        <v>260</v>
      </c>
      <c r="D36" s="29" t="s">
        <v>366</v>
      </c>
      <c r="E36" s="22" t="s">
        <v>367</v>
      </c>
      <c r="F36" s="38" t="s">
        <v>301</v>
      </c>
      <c r="G36" s="39" t="s">
        <v>368</v>
      </c>
      <c r="H36" s="32"/>
      <c r="I36" s="32"/>
      <c r="J36" s="32"/>
      <c r="K36" s="32"/>
      <c r="L36" s="32"/>
      <c r="M36" s="32"/>
      <c r="N36" s="32"/>
      <c r="O36" s="32"/>
      <c r="P36" s="32"/>
    </row>
    <row r="37" spans="1:16" ht="29.25" customHeight="1" x14ac:dyDescent="0.2">
      <c r="A37" s="36">
        <v>36</v>
      </c>
      <c r="B37" s="33" t="s">
        <v>208</v>
      </c>
      <c r="C37" s="37" t="s">
        <v>260</v>
      </c>
      <c r="D37" s="29" t="s">
        <v>369</v>
      </c>
      <c r="E37" s="22" t="s">
        <v>370</v>
      </c>
      <c r="F37" s="38" t="s">
        <v>371</v>
      </c>
      <c r="G37" s="39" t="s">
        <v>372</v>
      </c>
      <c r="H37" s="32"/>
      <c r="I37" s="32"/>
      <c r="J37" s="32"/>
      <c r="K37" s="32"/>
      <c r="L37" s="32"/>
      <c r="M37" s="32"/>
      <c r="N37" s="32"/>
      <c r="O37" s="32"/>
      <c r="P37" s="32"/>
    </row>
    <row r="38" spans="1:16" ht="29.25" customHeight="1" x14ac:dyDescent="0.2">
      <c r="A38" s="29">
        <v>37</v>
      </c>
      <c r="B38" s="33" t="s">
        <v>164</v>
      </c>
      <c r="C38" s="40" t="s">
        <v>118</v>
      </c>
      <c r="D38" s="29" t="s">
        <v>373</v>
      </c>
      <c r="E38" s="22" t="s">
        <v>374</v>
      </c>
      <c r="F38" s="41" t="s">
        <v>301</v>
      </c>
      <c r="G38" s="39" t="s">
        <v>375</v>
      </c>
      <c r="H38" s="32"/>
      <c r="I38" s="32"/>
      <c r="J38" s="32"/>
      <c r="K38" s="32"/>
      <c r="L38" s="32"/>
      <c r="M38" s="32"/>
      <c r="N38" s="32"/>
      <c r="O38" s="32"/>
      <c r="P38" s="32"/>
    </row>
    <row r="39" spans="1:16" ht="29.25" customHeight="1" x14ac:dyDescent="0.2">
      <c r="A39" s="36">
        <v>38</v>
      </c>
      <c r="B39" s="33" t="s">
        <v>209</v>
      </c>
      <c r="C39" s="37" t="s">
        <v>260</v>
      </c>
      <c r="D39" s="29" t="s">
        <v>376</v>
      </c>
      <c r="E39" s="22" t="s">
        <v>377</v>
      </c>
      <c r="F39" s="38" t="s">
        <v>301</v>
      </c>
      <c r="G39" s="39" t="s">
        <v>378</v>
      </c>
      <c r="H39" s="32"/>
      <c r="I39" s="32"/>
      <c r="J39" s="32"/>
      <c r="K39" s="32"/>
      <c r="L39" s="32"/>
      <c r="M39" s="32"/>
      <c r="N39" s="32"/>
      <c r="O39" s="32"/>
      <c r="P39" s="32"/>
    </row>
    <row r="40" spans="1:16" ht="29.25" customHeight="1" x14ac:dyDescent="0.2">
      <c r="A40" s="29">
        <v>39</v>
      </c>
      <c r="B40" s="33" t="s">
        <v>210</v>
      </c>
      <c r="C40" s="37" t="s">
        <v>260</v>
      </c>
      <c r="D40" s="29" t="s">
        <v>379</v>
      </c>
      <c r="E40" s="22" t="s">
        <v>380</v>
      </c>
      <c r="F40" s="34"/>
      <c r="G40" s="39" t="s">
        <v>381</v>
      </c>
      <c r="H40" s="32"/>
      <c r="I40" s="32"/>
      <c r="J40" s="32"/>
      <c r="K40" s="32"/>
      <c r="L40" s="32"/>
      <c r="M40" s="32"/>
      <c r="N40" s="32"/>
      <c r="O40" s="32"/>
      <c r="P40" s="32"/>
    </row>
    <row r="41" spans="1:16" ht="29.25" customHeight="1" x14ac:dyDescent="0.2">
      <c r="A41" s="36">
        <v>40</v>
      </c>
      <c r="B41" s="33" t="s">
        <v>38</v>
      </c>
      <c r="C41" s="37" t="s">
        <v>269</v>
      </c>
      <c r="D41" s="29" t="s">
        <v>382</v>
      </c>
      <c r="E41" s="22" t="s">
        <v>383</v>
      </c>
      <c r="F41" s="42" t="s">
        <v>275</v>
      </c>
      <c r="G41" s="39">
        <v>9961671818</v>
      </c>
      <c r="H41" s="32"/>
      <c r="I41" s="32"/>
      <c r="J41" s="32"/>
      <c r="K41" s="32"/>
      <c r="L41" s="32"/>
      <c r="M41" s="32"/>
      <c r="N41" s="32"/>
      <c r="O41" s="32"/>
      <c r="P41" s="32"/>
    </row>
    <row r="42" spans="1:16" ht="29.25" customHeight="1" x14ac:dyDescent="0.2">
      <c r="A42" s="29">
        <v>41</v>
      </c>
      <c r="B42" s="33" t="s">
        <v>104</v>
      </c>
      <c r="C42" s="40" t="s">
        <v>277</v>
      </c>
      <c r="D42" s="29" t="s">
        <v>384</v>
      </c>
      <c r="E42" s="22" t="s">
        <v>385</v>
      </c>
      <c r="F42" s="43" t="s">
        <v>386</v>
      </c>
      <c r="G42" s="39" t="s">
        <v>387</v>
      </c>
      <c r="H42" s="32"/>
      <c r="I42" s="32"/>
      <c r="J42" s="32"/>
      <c r="K42" s="32"/>
      <c r="L42" s="32"/>
      <c r="M42" s="32"/>
      <c r="N42" s="32"/>
      <c r="O42" s="32"/>
      <c r="P42" s="32"/>
    </row>
    <row r="43" spans="1:16" ht="29.25" customHeight="1" x14ac:dyDescent="0.2">
      <c r="A43" s="36">
        <v>42</v>
      </c>
      <c r="B43" s="33" t="s">
        <v>121</v>
      </c>
      <c r="C43" s="40" t="s">
        <v>298</v>
      </c>
      <c r="D43" s="29" t="s">
        <v>388</v>
      </c>
      <c r="E43" s="22" t="s">
        <v>389</v>
      </c>
      <c r="F43" s="34" t="s">
        <v>390</v>
      </c>
      <c r="G43" s="39" t="s">
        <v>391</v>
      </c>
      <c r="H43" s="32"/>
      <c r="I43" s="32"/>
      <c r="J43" s="32"/>
      <c r="K43" s="32"/>
      <c r="L43" s="32"/>
      <c r="M43" s="32"/>
      <c r="N43" s="32"/>
      <c r="O43" s="32"/>
      <c r="P43" s="32"/>
    </row>
    <row r="44" spans="1:16" ht="29.25" customHeight="1" x14ac:dyDescent="0.2">
      <c r="A44" s="29">
        <v>43</v>
      </c>
      <c r="B44" s="33" t="s">
        <v>142</v>
      </c>
      <c r="C44" s="40" t="s">
        <v>118</v>
      </c>
      <c r="D44" s="29" t="s">
        <v>392</v>
      </c>
      <c r="E44" s="22" t="s">
        <v>393</v>
      </c>
      <c r="F44" s="41" t="s">
        <v>316</v>
      </c>
      <c r="G44" s="39" t="s">
        <v>394</v>
      </c>
      <c r="H44" s="32"/>
      <c r="I44" s="32"/>
      <c r="J44" s="32"/>
      <c r="K44" s="32"/>
      <c r="L44" s="32"/>
      <c r="M44" s="32"/>
      <c r="N44" s="32"/>
      <c r="O44" s="32"/>
      <c r="P44" s="32"/>
    </row>
    <row r="45" spans="1:16" ht="29.25" customHeight="1" x14ac:dyDescent="0.2">
      <c r="A45" s="36">
        <v>44</v>
      </c>
      <c r="B45" s="33" t="s">
        <v>39</v>
      </c>
      <c r="C45" s="37" t="s">
        <v>269</v>
      </c>
      <c r="D45" s="29" t="s">
        <v>395</v>
      </c>
      <c r="E45" s="22" t="s">
        <v>396</v>
      </c>
      <c r="F45" s="42" t="s">
        <v>272</v>
      </c>
      <c r="G45" s="39"/>
      <c r="H45" s="32"/>
      <c r="I45" s="32"/>
      <c r="J45" s="32"/>
      <c r="K45" s="32"/>
      <c r="L45" s="32"/>
      <c r="M45" s="32"/>
      <c r="N45" s="32"/>
      <c r="O45" s="32"/>
      <c r="P45" s="32"/>
    </row>
    <row r="46" spans="1:16" ht="29.25" customHeight="1" x14ac:dyDescent="0.2">
      <c r="A46" s="29">
        <v>45</v>
      </c>
      <c r="B46" s="33" t="s">
        <v>211</v>
      </c>
      <c r="C46" s="37" t="s">
        <v>260</v>
      </c>
      <c r="D46" s="29" t="s">
        <v>397</v>
      </c>
      <c r="E46" s="22" t="s">
        <v>398</v>
      </c>
      <c r="F46" s="38" t="s">
        <v>263</v>
      </c>
      <c r="G46" s="39" t="s">
        <v>399</v>
      </c>
      <c r="H46" s="32"/>
      <c r="I46" s="32"/>
      <c r="J46" s="32"/>
      <c r="K46" s="32"/>
      <c r="L46" s="32"/>
      <c r="M46" s="32"/>
      <c r="N46" s="32"/>
      <c r="O46" s="32"/>
      <c r="P46" s="32"/>
    </row>
    <row r="47" spans="1:16" ht="29.25" customHeight="1" x14ac:dyDescent="0.2">
      <c r="A47" s="36">
        <v>46</v>
      </c>
      <c r="B47" s="33" t="s">
        <v>191</v>
      </c>
      <c r="C47" s="45" t="s">
        <v>356</v>
      </c>
      <c r="D47" s="29" t="s">
        <v>400</v>
      </c>
      <c r="E47" s="22" t="s">
        <v>401</v>
      </c>
      <c r="F47" s="43" t="s">
        <v>343</v>
      </c>
      <c r="G47" s="39" t="s">
        <v>402</v>
      </c>
      <c r="H47" s="32"/>
      <c r="I47" s="32"/>
      <c r="J47" s="32"/>
      <c r="K47" s="32"/>
      <c r="L47" s="32"/>
      <c r="M47" s="32"/>
      <c r="N47" s="32"/>
      <c r="O47" s="32"/>
      <c r="P47" s="32"/>
    </row>
    <row r="48" spans="1:16" ht="29.25" customHeight="1" x14ac:dyDescent="0.2">
      <c r="A48" s="29">
        <v>47</v>
      </c>
      <c r="B48" s="33" t="s">
        <v>105</v>
      </c>
      <c r="C48" s="40" t="s">
        <v>277</v>
      </c>
      <c r="D48" s="29" t="s">
        <v>403</v>
      </c>
      <c r="E48" s="22" t="s">
        <v>404</v>
      </c>
      <c r="F48" s="41" t="s">
        <v>287</v>
      </c>
      <c r="G48" s="39" t="s">
        <v>405</v>
      </c>
      <c r="H48" s="32"/>
      <c r="I48" s="32"/>
      <c r="J48" s="32"/>
      <c r="K48" s="32"/>
      <c r="L48" s="32"/>
      <c r="M48" s="32"/>
      <c r="N48" s="32"/>
      <c r="O48" s="32"/>
      <c r="P48" s="32"/>
    </row>
    <row r="49" spans="1:16" ht="29.25" customHeight="1" x14ac:dyDescent="0.2">
      <c r="A49" s="36">
        <v>48</v>
      </c>
      <c r="B49" s="33" t="s">
        <v>40</v>
      </c>
      <c r="C49" s="37" t="s">
        <v>269</v>
      </c>
      <c r="D49" s="29" t="s">
        <v>406</v>
      </c>
      <c r="E49" s="22" t="s">
        <v>407</v>
      </c>
      <c r="F49" s="42" t="s">
        <v>284</v>
      </c>
      <c r="G49" s="46" t="s">
        <v>408</v>
      </c>
      <c r="H49" s="32"/>
      <c r="I49" s="32"/>
      <c r="J49" s="32"/>
      <c r="K49" s="32"/>
      <c r="L49" s="32"/>
      <c r="M49" s="32"/>
      <c r="N49" s="32"/>
      <c r="O49" s="32"/>
      <c r="P49" s="32"/>
    </row>
    <row r="50" spans="1:16" ht="29.25" customHeight="1" x14ac:dyDescent="0.2">
      <c r="A50" s="29">
        <v>49</v>
      </c>
      <c r="B50" s="33" t="s">
        <v>62</v>
      </c>
      <c r="C50" s="37" t="s">
        <v>297</v>
      </c>
      <c r="D50" s="29" t="s">
        <v>409</v>
      </c>
      <c r="E50" s="22" t="s">
        <v>410</v>
      </c>
      <c r="F50" s="42" t="s">
        <v>267</v>
      </c>
      <c r="G50" s="39">
        <v>963384242</v>
      </c>
      <c r="H50" s="32"/>
      <c r="I50" s="32"/>
      <c r="J50" s="32"/>
      <c r="K50" s="32"/>
      <c r="L50" s="32"/>
      <c r="M50" s="32"/>
      <c r="N50" s="32"/>
      <c r="O50" s="32"/>
      <c r="P50" s="32"/>
    </row>
    <row r="51" spans="1:16" ht="29.25" customHeight="1" x14ac:dyDescent="0.2">
      <c r="A51" s="36">
        <v>50</v>
      </c>
      <c r="B51" s="33" t="s">
        <v>212</v>
      </c>
      <c r="C51" s="37" t="s">
        <v>260</v>
      </c>
      <c r="D51" s="29" t="s">
        <v>411</v>
      </c>
      <c r="E51" s="22" t="s">
        <v>412</v>
      </c>
      <c r="F51" s="38" t="s">
        <v>267</v>
      </c>
      <c r="G51" s="39" t="s">
        <v>413</v>
      </c>
      <c r="H51" s="32"/>
      <c r="I51" s="32"/>
      <c r="J51" s="32"/>
      <c r="K51" s="32"/>
      <c r="L51" s="32"/>
      <c r="M51" s="32"/>
      <c r="N51" s="32"/>
      <c r="O51" s="32"/>
      <c r="P51" s="32"/>
    </row>
    <row r="52" spans="1:16" ht="29.25" customHeight="1" x14ac:dyDescent="0.2">
      <c r="A52" s="29">
        <v>51</v>
      </c>
      <c r="B52" s="33" t="s">
        <v>213</v>
      </c>
      <c r="C52" s="37" t="s">
        <v>260</v>
      </c>
      <c r="D52" s="29" t="s">
        <v>414</v>
      </c>
      <c r="E52" s="22" t="s">
        <v>415</v>
      </c>
      <c r="F52" s="38" t="s">
        <v>295</v>
      </c>
      <c r="G52" s="39" t="s">
        <v>416</v>
      </c>
      <c r="H52" s="32"/>
      <c r="I52" s="32"/>
      <c r="J52" s="32"/>
      <c r="K52" s="32"/>
      <c r="L52" s="32"/>
      <c r="M52" s="32"/>
      <c r="N52" s="32"/>
      <c r="O52" s="32"/>
      <c r="P52" s="32"/>
    </row>
    <row r="53" spans="1:16" ht="29.25" customHeight="1" x14ac:dyDescent="0.2">
      <c r="A53" s="36">
        <v>52</v>
      </c>
      <c r="B53" s="33" t="s">
        <v>192</v>
      </c>
      <c r="C53" s="29"/>
      <c r="D53" s="29"/>
      <c r="E53" s="22" t="s">
        <v>259</v>
      </c>
      <c r="F53" s="34" t="s">
        <v>417</v>
      </c>
      <c r="G53" s="39" t="s">
        <v>259</v>
      </c>
      <c r="H53" s="32"/>
      <c r="I53" s="32"/>
      <c r="J53" s="32"/>
      <c r="K53" s="32"/>
      <c r="L53" s="32"/>
      <c r="M53" s="32"/>
      <c r="N53" s="32"/>
      <c r="O53" s="32"/>
      <c r="P53" s="32"/>
    </row>
    <row r="54" spans="1:16" ht="29.25" customHeight="1" x14ac:dyDescent="0.2">
      <c r="A54" s="29">
        <v>53</v>
      </c>
      <c r="B54" s="33" t="s">
        <v>193</v>
      </c>
      <c r="C54" s="45" t="s">
        <v>356</v>
      </c>
      <c r="D54" s="29" t="s">
        <v>418</v>
      </c>
      <c r="E54" s="22" t="s">
        <v>419</v>
      </c>
      <c r="F54" s="43" t="s">
        <v>301</v>
      </c>
      <c r="G54" s="39" t="s">
        <v>420</v>
      </c>
      <c r="H54" s="32"/>
      <c r="I54" s="32"/>
      <c r="J54" s="32"/>
      <c r="K54" s="32"/>
      <c r="L54" s="32"/>
      <c r="M54" s="32"/>
      <c r="N54" s="32"/>
      <c r="O54" s="32"/>
      <c r="P54" s="32"/>
    </row>
    <row r="55" spans="1:16" ht="29.25" customHeight="1" x14ac:dyDescent="0.2">
      <c r="A55" s="36">
        <v>54</v>
      </c>
      <c r="B55" s="33" t="s">
        <v>122</v>
      </c>
      <c r="C55" s="40" t="s">
        <v>298</v>
      </c>
      <c r="D55" s="29" t="s">
        <v>421</v>
      </c>
      <c r="E55" s="22" t="s">
        <v>422</v>
      </c>
      <c r="F55" s="34" t="s">
        <v>371</v>
      </c>
      <c r="G55" s="39" t="s">
        <v>423</v>
      </c>
      <c r="H55" s="32"/>
      <c r="I55" s="32"/>
      <c r="J55" s="32"/>
      <c r="K55" s="32"/>
      <c r="L55" s="32"/>
      <c r="M55" s="32"/>
      <c r="N55" s="32"/>
      <c r="O55" s="32"/>
      <c r="P55" s="32"/>
    </row>
    <row r="56" spans="1:16" ht="29.25" customHeight="1" x14ac:dyDescent="0.2">
      <c r="A56" s="29">
        <v>55</v>
      </c>
      <c r="B56" s="33" t="s">
        <v>234</v>
      </c>
      <c r="C56" s="40" t="s">
        <v>265</v>
      </c>
      <c r="D56" s="29" t="s">
        <v>424</v>
      </c>
      <c r="E56" s="22" t="s">
        <v>425</v>
      </c>
      <c r="F56" s="41" t="s">
        <v>267</v>
      </c>
      <c r="G56" s="39" t="s">
        <v>426</v>
      </c>
      <c r="H56" s="32"/>
      <c r="I56" s="32"/>
      <c r="J56" s="32"/>
      <c r="K56" s="32"/>
      <c r="L56" s="32"/>
      <c r="M56" s="32"/>
      <c r="N56" s="32"/>
      <c r="O56" s="32"/>
      <c r="P56" s="32"/>
    </row>
    <row r="57" spans="1:16" ht="29.25" customHeight="1" x14ac:dyDescent="0.2">
      <c r="A57" s="36">
        <v>56</v>
      </c>
      <c r="B57" s="33" t="s">
        <v>86</v>
      </c>
      <c r="C57" s="40" t="s">
        <v>292</v>
      </c>
      <c r="D57" s="29" t="s">
        <v>427</v>
      </c>
      <c r="E57" s="22" t="s">
        <v>428</v>
      </c>
      <c r="F57" s="43" t="s">
        <v>280</v>
      </c>
      <c r="G57" s="39" t="s">
        <v>429</v>
      </c>
      <c r="H57" s="32"/>
      <c r="I57" s="32"/>
      <c r="J57" s="32"/>
      <c r="K57" s="32"/>
      <c r="L57" s="32"/>
      <c r="M57" s="32"/>
      <c r="N57" s="32"/>
      <c r="O57" s="32"/>
      <c r="P57" s="32"/>
    </row>
    <row r="58" spans="1:16" ht="29.25" customHeight="1" x14ac:dyDescent="0.2">
      <c r="A58" s="29">
        <v>57</v>
      </c>
      <c r="B58" s="33" t="s">
        <v>87</v>
      </c>
      <c r="C58" s="40" t="s">
        <v>292</v>
      </c>
      <c r="D58" s="29" t="s">
        <v>430</v>
      </c>
      <c r="E58" s="22" t="s">
        <v>431</v>
      </c>
      <c r="F58" s="43" t="s">
        <v>390</v>
      </c>
      <c r="G58" s="39" t="s">
        <v>432</v>
      </c>
      <c r="H58" s="32"/>
      <c r="I58" s="32"/>
      <c r="J58" s="32"/>
      <c r="K58" s="32"/>
      <c r="L58" s="32"/>
      <c r="M58" s="32"/>
      <c r="N58" s="32"/>
      <c r="O58" s="32"/>
      <c r="P58" s="32"/>
    </row>
    <row r="59" spans="1:16" ht="29.25" customHeight="1" x14ac:dyDescent="0.2">
      <c r="A59" s="36">
        <v>58</v>
      </c>
      <c r="B59" s="33" t="s">
        <v>144</v>
      </c>
      <c r="C59" s="40" t="s">
        <v>118</v>
      </c>
      <c r="D59" s="29" t="s">
        <v>433</v>
      </c>
      <c r="E59" s="22" t="s">
        <v>434</v>
      </c>
      <c r="F59" s="41" t="s">
        <v>435</v>
      </c>
      <c r="G59" s="39" t="s">
        <v>436</v>
      </c>
      <c r="H59" s="32"/>
      <c r="I59" s="32"/>
      <c r="J59" s="32"/>
      <c r="K59" s="32"/>
      <c r="L59" s="32"/>
      <c r="M59" s="32"/>
      <c r="N59" s="32"/>
      <c r="O59" s="32"/>
      <c r="P59" s="32"/>
    </row>
    <row r="60" spans="1:16" ht="29.25" customHeight="1" x14ac:dyDescent="0.2">
      <c r="A60" s="29">
        <v>59</v>
      </c>
      <c r="B60" s="33" t="s">
        <v>123</v>
      </c>
      <c r="C60" s="40" t="s">
        <v>298</v>
      </c>
      <c r="D60" s="29" t="s">
        <v>437</v>
      </c>
      <c r="E60" s="22" t="s">
        <v>438</v>
      </c>
      <c r="F60" s="34" t="s">
        <v>280</v>
      </c>
      <c r="G60" s="39" t="s">
        <v>439</v>
      </c>
      <c r="H60" s="32"/>
      <c r="I60" s="32"/>
      <c r="J60" s="32"/>
      <c r="K60" s="32"/>
      <c r="L60" s="32"/>
      <c r="M60" s="32"/>
      <c r="N60" s="32"/>
      <c r="O60" s="32"/>
      <c r="P60" s="32"/>
    </row>
    <row r="61" spans="1:16" ht="29.25" customHeight="1" x14ac:dyDescent="0.2">
      <c r="A61" s="36">
        <v>60</v>
      </c>
      <c r="B61" s="33" t="s">
        <v>41</v>
      </c>
      <c r="C61" s="37" t="s">
        <v>269</v>
      </c>
      <c r="D61" s="29" t="s">
        <v>440</v>
      </c>
      <c r="E61" s="22" t="s">
        <v>441</v>
      </c>
      <c r="F61" s="42" t="s">
        <v>442</v>
      </c>
      <c r="G61" s="44">
        <v>9947258656</v>
      </c>
      <c r="H61" s="32"/>
      <c r="I61" s="32"/>
      <c r="J61" s="32"/>
      <c r="K61" s="32"/>
      <c r="L61" s="32"/>
      <c r="M61" s="32"/>
      <c r="N61" s="32"/>
      <c r="O61" s="32"/>
      <c r="P61" s="32"/>
    </row>
    <row r="62" spans="1:16" ht="29.25" customHeight="1" x14ac:dyDescent="0.2">
      <c r="A62" s="29">
        <v>61</v>
      </c>
      <c r="B62" s="47" t="s">
        <v>42</v>
      </c>
      <c r="C62" s="48" t="s">
        <v>269</v>
      </c>
      <c r="D62" s="49" t="s">
        <v>443</v>
      </c>
      <c r="E62" s="50" t="s">
        <v>444</v>
      </c>
      <c r="F62" s="51" t="s">
        <v>301</v>
      </c>
      <c r="G62" s="39">
        <v>9846302863</v>
      </c>
      <c r="H62" s="32"/>
      <c r="I62" s="32"/>
      <c r="J62" s="32"/>
      <c r="K62" s="32"/>
      <c r="L62" s="32"/>
      <c r="M62" s="32"/>
      <c r="N62" s="32"/>
      <c r="O62" s="32"/>
      <c r="P62" s="32"/>
    </row>
    <row r="63" spans="1:16" ht="29.25" customHeight="1" x14ac:dyDescent="0.2">
      <c r="A63" s="36">
        <v>62</v>
      </c>
      <c r="B63" s="52" t="s">
        <v>171</v>
      </c>
      <c r="C63" s="53" t="s">
        <v>118</v>
      </c>
      <c r="D63" s="54" t="s">
        <v>445</v>
      </c>
      <c r="E63" s="55" t="s">
        <v>446</v>
      </c>
      <c r="F63" s="56" t="s">
        <v>267</v>
      </c>
      <c r="G63" s="39" t="s">
        <v>447</v>
      </c>
      <c r="H63" s="32"/>
      <c r="I63" s="32"/>
      <c r="J63" s="32"/>
      <c r="K63" s="32"/>
      <c r="L63" s="32"/>
      <c r="M63" s="32"/>
      <c r="N63" s="32"/>
      <c r="O63" s="32"/>
      <c r="P63" s="32"/>
    </row>
    <row r="64" spans="1:16" ht="29.25" customHeight="1" x14ac:dyDescent="0.2">
      <c r="A64" s="29">
        <v>63</v>
      </c>
      <c r="B64" s="47" t="s">
        <v>106</v>
      </c>
      <c r="C64" s="57" t="s">
        <v>277</v>
      </c>
      <c r="D64" s="49" t="s">
        <v>448</v>
      </c>
      <c r="E64" s="50" t="s">
        <v>449</v>
      </c>
      <c r="F64" s="58" t="s">
        <v>301</v>
      </c>
      <c r="G64" s="39" t="s">
        <v>450</v>
      </c>
      <c r="H64" s="32"/>
      <c r="I64" s="32"/>
      <c r="J64" s="32"/>
      <c r="K64" s="32"/>
      <c r="L64" s="32"/>
      <c r="M64" s="32"/>
      <c r="N64" s="32"/>
      <c r="O64" s="32"/>
      <c r="P64" s="32"/>
    </row>
    <row r="65" spans="1:16" ht="29.25" customHeight="1" x14ac:dyDescent="0.2">
      <c r="A65" s="36">
        <v>64</v>
      </c>
      <c r="B65" s="52" t="s">
        <v>107</v>
      </c>
      <c r="C65" s="53" t="s">
        <v>277</v>
      </c>
      <c r="D65" s="54" t="s">
        <v>451</v>
      </c>
      <c r="E65" s="55" t="s">
        <v>452</v>
      </c>
      <c r="F65" s="56" t="s">
        <v>287</v>
      </c>
      <c r="G65" s="39" t="s">
        <v>453</v>
      </c>
      <c r="H65" s="32"/>
      <c r="I65" s="32"/>
      <c r="J65" s="32"/>
      <c r="K65" s="32"/>
      <c r="L65" s="32"/>
      <c r="M65" s="32"/>
      <c r="N65" s="32"/>
      <c r="O65" s="32"/>
      <c r="P65" s="32"/>
    </row>
    <row r="66" spans="1:16" ht="29.25" customHeight="1" x14ac:dyDescent="0.2">
      <c r="A66" s="29">
        <v>65</v>
      </c>
      <c r="B66" s="47" t="s">
        <v>454</v>
      </c>
      <c r="C66" s="48" t="s">
        <v>269</v>
      </c>
      <c r="D66" s="49" t="s">
        <v>455</v>
      </c>
      <c r="E66" s="50" t="s">
        <v>456</v>
      </c>
      <c r="F66" s="51" t="s">
        <v>301</v>
      </c>
      <c r="G66" s="39"/>
      <c r="H66" s="32"/>
      <c r="I66" s="32"/>
      <c r="J66" s="32"/>
      <c r="K66" s="32"/>
      <c r="L66" s="32"/>
      <c r="M66" s="32"/>
      <c r="N66" s="32"/>
      <c r="O66" s="32"/>
      <c r="P66" s="32"/>
    </row>
    <row r="67" spans="1:16" ht="29.25" customHeight="1" x14ac:dyDescent="0.2">
      <c r="A67" s="36">
        <v>66</v>
      </c>
      <c r="B67" s="52" t="s">
        <v>235</v>
      </c>
      <c r="C67" s="53" t="s">
        <v>265</v>
      </c>
      <c r="D67" s="54"/>
      <c r="E67" s="55" t="s">
        <v>259</v>
      </c>
      <c r="F67" s="56" t="s">
        <v>457</v>
      </c>
      <c r="G67" s="39"/>
      <c r="H67" s="32"/>
      <c r="I67" s="32"/>
      <c r="J67" s="32"/>
      <c r="K67" s="32"/>
      <c r="L67" s="32"/>
      <c r="M67" s="32"/>
      <c r="N67" s="32"/>
      <c r="O67" s="32"/>
      <c r="P67" s="32"/>
    </row>
    <row r="68" spans="1:16" ht="29.25" customHeight="1" x14ac:dyDescent="0.2">
      <c r="A68" s="29">
        <v>67</v>
      </c>
      <c r="B68" s="47" t="s">
        <v>236</v>
      </c>
      <c r="C68" s="57" t="s">
        <v>265</v>
      </c>
      <c r="D68" s="49"/>
      <c r="E68" s="50" t="s">
        <v>458</v>
      </c>
      <c r="F68" s="58" t="s">
        <v>459</v>
      </c>
      <c r="G68" s="39" t="s">
        <v>460</v>
      </c>
      <c r="H68" s="32"/>
      <c r="I68" s="32"/>
      <c r="J68" s="32"/>
      <c r="K68" s="32"/>
      <c r="L68" s="32"/>
      <c r="M68" s="32"/>
      <c r="N68" s="32"/>
      <c r="O68" s="32"/>
      <c r="P68" s="32"/>
    </row>
    <row r="69" spans="1:16" ht="29.25" customHeight="1" x14ac:dyDescent="0.2">
      <c r="A69" s="36">
        <v>68</v>
      </c>
      <c r="B69" s="52" t="s">
        <v>108</v>
      </c>
      <c r="C69" s="53" t="s">
        <v>277</v>
      </c>
      <c r="D69" s="54" t="s">
        <v>461</v>
      </c>
      <c r="E69" s="55" t="s">
        <v>462</v>
      </c>
      <c r="F69" s="59" t="s">
        <v>301</v>
      </c>
      <c r="G69" s="39" t="s">
        <v>463</v>
      </c>
      <c r="H69" s="32"/>
      <c r="I69" s="32"/>
      <c r="J69" s="32"/>
      <c r="K69" s="32"/>
      <c r="L69" s="32"/>
      <c r="M69" s="32"/>
      <c r="N69" s="32"/>
      <c r="O69" s="32"/>
      <c r="P69" s="32"/>
    </row>
    <row r="70" spans="1:16" ht="29.25" customHeight="1" x14ac:dyDescent="0.2">
      <c r="A70" s="29">
        <v>69</v>
      </c>
      <c r="B70" s="47" t="s">
        <v>214</v>
      </c>
      <c r="C70" s="48" t="s">
        <v>260</v>
      </c>
      <c r="D70" s="49" t="s">
        <v>464</v>
      </c>
      <c r="E70" s="50" t="s">
        <v>465</v>
      </c>
      <c r="F70" s="60" t="s">
        <v>301</v>
      </c>
      <c r="G70" s="39" t="s">
        <v>466</v>
      </c>
      <c r="H70" s="32"/>
      <c r="I70" s="32"/>
      <c r="J70" s="32"/>
      <c r="K70" s="32"/>
      <c r="L70" s="32"/>
      <c r="M70" s="32"/>
      <c r="N70" s="32"/>
      <c r="O70" s="32"/>
      <c r="P70" s="32"/>
    </row>
    <row r="71" spans="1:16" ht="29.25" customHeight="1" x14ac:dyDescent="0.2">
      <c r="A71" s="36">
        <v>70</v>
      </c>
      <c r="B71" s="52" t="s">
        <v>63</v>
      </c>
      <c r="C71" s="61" t="s">
        <v>297</v>
      </c>
      <c r="D71" s="54" t="s">
        <v>467</v>
      </c>
      <c r="E71" s="55" t="s">
        <v>468</v>
      </c>
      <c r="F71" s="62" t="s">
        <v>343</v>
      </c>
      <c r="G71" s="39">
        <v>7994146350</v>
      </c>
      <c r="H71" s="32"/>
      <c r="I71" s="32"/>
      <c r="J71" s="32"/>
      <c r="K71" s="32"/>
      <c r="L71" s="32"/>
      <c r="M71" s="32"/>
      <c r="N71" s="32"/>
      <c r="O71" s="32"/>
      <c r="P71" s="32"/>
    </row>
    <row r="72" spans="1:16" ht="29.25" customHeight="1" x14ac:dyDescent="0.2">
      <c r="A72" s="29">
        <v>71</v>
      </c>
      <c r="B72" s="47" t="s">
        <v>64</v>
      </c>
      <c r="C72" s="48" t="s">
        <v>297</v>
      </c>
      <c r="D72" s="49" t="s">
        <v>469</v>
      </c>
      <c r="E72" s="50" t="s">
        <v>470</v>
      </c>
      <c r="F72" s="51" t="s">
        <v>471</v>
      </c>
      <c r="G72" s="39"/>
      <c r="H72" s="32"/>
      <c r="I72" s="32"/>
      <c r="J72" s="32"/>
      <c r="K72" s="32"/>
      <c r="L72" s="32"/>
      <c r="M72" s="32"/>
      <c r="N72" s="32"/>
      <c r="O72" s="32"/>
      <c r="P72" s="32"/>
    </row>
    <row r="73" spans="1:16" ht="29.25" customHeight="1" x14ac:dyDescent="0.2">
      <c r="A73" s="36">
        <v>72</v>
      </c>
      <c r="B73" s="52" t="s">
        <v>43</v>
      </c>
      <c r="C73" s="61" t="s">
        <v>269</v>
      </c>
      <c r="D73" s="54" t="s">
        <v>472</v>
      </c>
      <c r="E73" s="55" t="s">
        <v>473</v>
      </c>
      <c r="F73" s="62" t="s">
        <v>474</v>
      </c>
      <c r="G73" s="39">
        <v>9605304984</v>
      </c>
      <c r="H73" s="32"/>
      <c r="I73" s="32"/>
      <c r="J73" s="32"/>
      <c r="K73" s="32"/>
      <c r="L73" s="32"/>
      <c r="M73" s="32"/>
      <c r="N73" s="32"/>
      <c r="O73" s="32"/>
      <c r="P73" s="32"/>
    </row>
    <row r="74" spans="1:16" ht="29.25" customHeight="1" x14ac:dyDescent="0.2">
      <c r="A74" s="29">
        <v>73</v>
      </c>
      <c r="B74" s="47" t="s">
        <v>44</v>
      </c>
      <c r="C74" s="48" t="s">
        <v>269</v>
      </c>
      <c r="D74" s="49" t="s">
        <v>475</v>
      </c>
      <c r="E74" s="50" t="s">
        <v>476</v>
      </c>
      <c r="F74" s="51" t="s">
        <v>477</v>
      </c>
      <c r="G74" s="39">
        <v>9745567659</v>
      </c>
      <c r="H74" s="32"/>
      <c r="I74" s="32"/>
      <c r="J74" s="32"/>
      <c r="K74" s="32"/>
      <c r="L74" s="32"/>
      <c r="M74" s="32"/>
      <c r="N74" s="32"/>
      <c r="O74" s="32"/>
      <c r="P74" s="32"/>
    </row>
    <row r="75" spans="1:16" ht="29.25" customHeight="1" x14ac:dyDescent="0.2">
      <c r="A75" s="36">
        <v>74</v>
      </c>
      <c r="B75" s="52" t="s">
        <v>124</v>
      </c>
      <c r="C75" s="53" t="s">
        <v>298</v>
      </c>
      <c r="D75" s="54" t="s">
        <v>478</v>
      </c>
      <c r="E75" s="55" t="s">
        <v>479</v>
      </c>
      <c r="F75" s="56" t="s">
        <v>316</v>
      </c>
      <c r="G75" s="39" t="s">
        <v>480</v>
      </c>
      <c r="H75" s="32"/>
      <c r="I75" s="32"/>
      <c r="J75" s="32"/>
      <c r="K75" s="32"/>
      <c r="L75" s="32"/>
      <c r="M75" s="32"/>
      <c r="N75" s="32"/>
      <c r="O75" s="32"/>
      <c r="P75" s="32"/>
    </row>
    <row r="76" spans="1:16" ht="29.25" customHeight="1" x14ac:dyDescent="0.2">
      <c r="A76" s="29">
        <v>75</v>
      </c>
      <c r="B76" s="47" t="s">
        <v>88</v>
      </c>
      <c r="C76" s="57" t="s">
        <v>292</v>
      </c>
      <c r="D76" s="49" t="s">
        <v>481</v>
      </c>
      <c r="E76" s="50" t="s">
        <v>482</v>
      </c>
      <c r="F76" s="58" t="s">
        <v>316</v>
      </c>
      <c r="G76" s="39" t="s">
        <v>483</v>
      </c>
      <c r="H76" s="32"/>
      <c r="I76" s="32"/>
      <c r="J76" s="32"/>
      <c r="K76" s="32"/>
      <c r="L76" s="32"/>
      <c r="M76" s="32"/>
      <c r="N76" s="32"/>
      <c r="O76" s="32"/>
      <c r="P76" s="32"/>
    </row>
    <row r="77" spans="1:16" ht="29.25" customHeight="1" x14ac:dyDescent="0.2">
      <c r="A77" s="36">
        <v>76</v>
      </c>
      <c r="B77" s="52" t="s">
        <v>146</v>
      </c>
      <c r="C77" s="53" t="s">
        <v>298</v>
      </c>
      <c r="D77" s="54" t="s">
        <v>484</v>
      </c>
      <c r="E77" s="55" t="s">
        <v>485</v>
      </c>
      <c r="F77" s="56" t="s">
        <v>287</v>
      </c>
      <c r="G77" s="39" t="s">
        <v>486</v>
      </c>
      <c r="H77" s="32"/>
      <c r="I77" s="32"/>
      <c r="J77" s="32"/>
      <c r="K77" s="32"/>
      <c r="L77" s="32"/>
      <c r="M77" s="32"/>
      <c r="N77" s="32"/>
      <c r="O77" s="32"/>
      <c r="P77" s="32"/>
    </row>
    <row r="78" spans="1:16" ht="29.25" customHeight="1" x14ac:dyDescent="0.2">
      <c r="A78" s="29">
        <v>77</v>
      </c>
      <c r="B78" s="47" t="s">
        <v>182</v>
      </c>
      <c r="C78" s="57" t="s">
        <v>118</v>
      </c>
      <c r="D78" s="49" t="s">
        <v>487</v>
      </c>
      <c r="E78" s="50" t="s">
        <v>488</v>
      </c>
      <c r="F78" s="63" t="s">
        <v>301</v>
      </c>
      <c r="G78" s="39" t="s">
        <v>489</v>
      </c>
      <c r="H78" s="32"/>
      <c r="I78" s="32"/>
      <c r="J78" s="32"/>
      <c r="K78" s="32"/>
      <c r="L78" s="32"/>
      <c r="M78" s="32"/>
      <c r="N78" s="32"/>
      <c r="O78" s="32"/>
      <c r="P78" s="32"/>
    </row>
    <row r="79" spans="1:16" ht="29.25" customHeight="1" x14ac:dyDescent="0.2">
      <c r="A79" s="36">
        <v>78</v>
      </c>
      <c r="B79" s="52" t="s">
        <v>183</v>
      </c>
      <c r="C79" s="53" t="s">
        <v>118</v>
      </c>
      <c r="D79" s="54" t="s">
        <v>490</v>
      </c>
      <c r="E79" s="55" t="s">
        <v>491</v>
      </c>
      <c r="F79" s="56" t="s">
        <v>287</v>
      </c>
      <c r="G79" s="39" t="s">
        <v>492</v>
      </c>
      <c r="H79" s="32"/>
      <c r="I79" s="32"/>
      <c r="J79" s="32"/>
      <c r="K79" s="32"/>
      <c r="L79" s="32"/>
      <c r="M79" s="32"/>
      <c r="N79" s="32"/>
      <c r="O79" s="32"/>
      <c r="P79" s="32"/>
    </row>
    <row r="80" spans="1:16" ht="29.25" customHeight="1" x14ac:dyDescent="0.2">
      <c r="A80" s="29">
        <v>79</v>
      </c>
      <c r="B80" s="47" t="s">
        <v>65</v>
      </c>
      <c r="C80" s="48" t="s">
        <v>297</v>
      </c>
      <c r="D80" s="49" t="s">
        <v>493</v>
      </c>
      <c r="E80" s="50" t="s">
        <v>494</v>
      </c>
      <c r="F80" s="51" t="s">
        <v>495</v>
      </c>
      <c r="G80" s="39">
        <v>9745903145</v>
      </c>
      <c r="H80" s="32"/>
      <c r="I80" s="32"/>
      <c r="J80" s="32"/>
      <c r="K80" s="32"/>
      <c r="L80" s="32"/>
      <c r="M80" s="32"/>
      <c r="N80" s="32"/>
      <c r="O80" s="32"/>
      <c r="P80" s="32"/>
    </row>
    <row r="81" spans="1:16" ht="29.25" customHeight="1" x14ac:dyDescent="0.2">
      <c r="A81" s="36">
        <v>80</v>
      </c>
      <c r="B81" s="52" t="s">
        <v>172</v>
      </c>
      <c r="C81" s="53" t="s">
        <v>118</v>
      </c>
      <c r="D81" s="54" t="s">
        <v>496</v>
      </c>
      <c r="E81" s="55" t="s">
        <v>497</v>
      </c>
      <c r="F81" s="56" t="s">
        <v>301</v>
      </c>
      <c r="G81" s="39" t="s">
        <v>498</v>
      </c>
      <c r="H81" s="32"/>
      <c r="I81" s="32"/>
      <c r="J81" s="32"/>
      <c r="K81" s="32"/>
      <c r="L81" s="32"/>
      <c r="M81" s="32"/>
      <c r="N81" s="32"/>
      <c r="O81" s="32"/>
      <c r="P81" s="32"/>
    </row>
    <row r="82" spans="1:16" ht="29.25" customHeight="1" x14ac:dyDescent="0.2">
      <c r="A82" s="29">
        <v>81</v>
      </c>
      <c r="B82" s="47" t="s">
        <v>184</v>
      </c>
      <c r="C82" s="57" t="s">
        <v>118</v>
      </c>
      <c r="D82" s="49" t="s">
        <v>499</v>
      </c>
      <c r="E82" s="50" t="s">
        <v>500</v>
      </c>
      <c r="F82" s="63" t="s">
        <v>316</v>
      </c>
      <c r="G82" s="39" t="s">
        <v>501</v>
      </c>
      <c r="H82" s="32"/>
      <c r="I82" s="32"/>
      <c r="J82" s="32"/>
      <c r="K82" s="32"/>
      <c r="L82" s="32"/>
      <c r="M82" s="32"/>
      <c r="N82" s="32"/>
      <c r="O82" s="32"/>
      <c r="P82" s="32"/>
    </row>
    <row r="83" spans="1:16" ht="29.25" customHeight="1" x14ac:dyDescent="0.2">
      <c r="A83" s="36">
        <v>82</v>
      </c>
      <c r="B83" s="52" t="s">
        <v>66</v>
      </c>
      <c r="C83" s="61" t="s">
        <v>297</v>
      </c>
      <c r="D83" s="54" t="s">
        <v>502</v>
      </c>
      <c r="E83" s="55" t="s">
        <v>503</v>
      </c>
      <c r="F83" s="62" t="s">
        <v>280</v>
      </c>
      <c r="G83" s="39" t="s">
        <v>504</v>
      </c>
      <c r="H83" s="32"/>
      <c r="I83" s="32"/>
      <c r="J83" s="32"/>
      <c r="K83" s="32"/>
      <c r="L83" s="32"/>
      <c r="M83" s="32"/>
      <c r="N83" s="32"/>
      <c r="O83" s="32"/>
      <c r="P83" s="32"/>
    </row>
    <row r="84" spans="1:16" ht="29.25" customHeight="1" x14ac:dyDescent="0.2">
      <c r="A84" s="29">
        <v>83</v>
      </c>
      <c r="B84" s="47" t="s">
        <v>45</v>
      </c>
      <c r="C84" s="48" t="s">
        <v>269</v>
      </c>
      <c r="D84" s="49" t="s">
        <v>505</v>
      </c>
      <c r="E84" s="50" t="s">
        <v>506</v>
      </c>
      <c r="F84" s="51" t="s">
        <v>301</v>
      </c>
      <c r="G84" s="39" t="s">
        <v>507</v>
      </c>
      <c r="H84" s="32"/>
      <c r="I84" s="32"/>
      <c r="J84" s="32"/>
      <c r="K84" s="32"/>
      <c r="L84" s="32"/>
      <c r="M84" s="32"/>
      <c r="N84" s="32"/>
      <c r="O84" s="32"/>
      <c r="P84" s="32"/>
    </row>
    <row r="85" spans="1:16" ht="29.25" customHeight="1" x14ac:dyDescent="0.2">
      <c r="A85" s="36">
        <v>84</v>
      </c>
      <c r="B85" s="52" t="s">
        <v>148</v>
      </c>
      <c r="C85" s="53" t="s">
        <v>118</v>
      </c>
      <c r="D85" s="54" t="s">
        <v>508</v>
      </c>
      <c r="E85" s="55" t="s">
        <v>509</v>
      </c>
      <c r="F85" s="56" t="s">
        <v>312</v>
      </c>
      <c r="G85" s="39" t="s">
        <v>510</v>
      </c>
      <c r="H85" s="32"/>
      <c r="I85" s="32"/>
      <c r="J85" s="32"/>
      <c r="K85" s="32"/>
      <c r="L85" s="32"/>
      <c r="M85" s="32"/>
      <c r="N85" s="32"/>
      <c r="O85" s="32"/>
      <c r="P85" s="32"/>
    </row>
    <row r="86" spans="1:16" ht="29.25" customHeight="1" x14ac:dyDescent="0.2">
      <c r="A86" s="29">
        <v>85</v>
      </c>
      <c r="B86" s="47" t="s">
        <v>46</v>
      </c>
      <c r="C86" s="48" t="s">
        <v>269</v>
      </c>
      <c r="D86" s="49" t="s">
        <v>511</v>
      </c>
      <c r="E86" s="50" t="s">
        <v>512</v>
      </c>
      <c r="F86" s="51" t="s">
        <v>513</v>
      </c>
      <c r="G86" s="39">
        <v>8129655801</v>
      </c>
      <c r="H86" s="32"/>
      <c r="I86" s="32"/>
      <c r="J86" s="32"/>
      <c r="K86" s="32"/>
      <c r="L86" s="32"/>
      <c r="M86" s="32"/>
      <c r="N86" s="32"/>
      <c r="O86" s="32"/>
      <c r="P86" s="32"/>
    </row>
    <row r="87" spans="1:16" ht="29.25" customHeight="1" x14ac:dyDescent="0.2">
      <c r="A87" s="36">
        <v>86</v>
      </c>
      <c r="B87" s="52" t="s">
        <v>125</v>
      </c>
      <c r="C87" s="53" t="s">
        <v>298</v>
      </c>
      <c r="D87" s="54" t="s">
        <v>514</v>
      </c>
      <c r="E87" s="55" t="s">
        <v>515</v>
      </c>
      <c r="F87" s="56" t="s">
        <v>316</v>
      </c>
      <c r="G87" s="39" t="s">
        <v>516</v>
      </c>
      <c r="H87" s="32"/>
      <c r="I87" s="32"/>
      <c r="J87" s="32"/>
      <c r="K87" s="32"/>
      <c r="L87" s="32"/>
      <c r="M87" s="32"/>
      <c r="N87" s="32"/>
      <c r="O87" s="32"/>
      <c r="P87" s="32"/>
    </row>
    <row r="88" spans="1:16" ht="29.25" customHeight="1" x14ac:dyDescent="0.2">
      <c r="A88" s="29">
        <v>87</v>
      </c>
      <c r="B88" s="47" t="s">
        <v>47</v>
      </c>
      <c r="C88" s="48" t="s">
        <v>269</v>
      </c>
      <c r="D88" s="49" t="s">
        <v>517</v>
      </c>
      <c r="E88" s="50" t="s">
        <v>518</v>
      </c>
      <c r="F88" s="51" t="s">
        <v>316</v>
      </c>
      <c r="G88" s="39">
        <v>9188500411</v>
      </c>
      <c r="H88" s="32"/>
      <c r="I88" s="32"/>
      <c r="J88" s="32"/>
      <c r="K88" s="32"/>
      <c r="L88" s="32"/>
      <c r="M88" s="32"/>
      <c r="N88" s="32"/>
      <c r="O88" s="32"/>
      <c r="P88" s="32"/>
    </row>
    <row r="89" spans="1:16" ht="29.25" customHeight="1" x14ac:dyDescent="0.2">
      <c r="A89" s="36">
        <v>88</v>
      </c>
      <c r="B89" s="52" t="s">
        <v>237</v>
      </c>
      <c r="C89" s="53" t="s">
        <v>265</v>
      </c>
      <c r="D89" s="54" t="s">
        <v>519</v>
      </c>
      <c r="E89" s="55" t="s">
        <v>520</v>
      </c>
      <c r="F89" s="56" t="s">
        <v>287</v>
      </c>
      <c r="G89" s="39" t="s">
        <v>521</v>
      </c>
      <c r="H89" s="32"/>
      <c r="I89" s="32"/>
      <c r="J89" s="32"/>
      <c r="K89" s="32"/>
      <c r="L89" s="32"/>
      <c r="M89" s="32"/>
      <c r="N89" s="32"/>
      <c r="O89" s="32"/>
      <c r="P89" s="32"/>
    </row>
    <row r="90" spans="1:16" ht="29.25" customHeight="1" x14ac:dyDescent="0.2">
      <c r="A90" s="29">
        <v>89</v>
      </c>
      <c r="B90" s="47" t="s">
        <v>126</v>
      </c>
      <c r="C90" s="57" t="s">
        <v>298</v>
      </c>
      <c r="D90" s="49" t="s">
        <v>522</v>
      </c>
      <c r="E90" s="50" t="s">
        <v>523</v>
      </c>
      <c r="F90" s="63" t="s">
        <v>287</v>
      </c>
      <c r="G90" s="39" t="s">
        <v>524</v>
      </c>
      <c r="H90" s="32"/>
      <c r="I90" s="32"/>
      <c r="J90" s="32"/>
      <c r="K90" s="32"/>
      <c r="L90" s="32"/>
      <c r="M90" s="32"/>
      <c r="N90" s="32"/>
      <c r="O90" s="32"/>
      <c r="P90" s="32"/>
    </row>
    <row r="91" spans="1:16" ht="29.25" customHeight="1" x14ac:dyDescent="0.2">
      <c r="A91" s="36">
        <v>90</v>
      </c>
      <c r="B91" s="52" t="s">
        <v>48</v>
      </c>
      <c r="C91" s="61" t="s">
        <v>269</v>
      </c>
      <c r="D91" s="54" t="s">
        <v>525</v>
      </c>
      <c r="E91" s="55" t="s">
        <v>526</v>
      </c>
      <c r="F91" s="62" t="s">
        <v>386</v>
      </c>
      <c r="G91" s="39">
        <v>9847276795</v>
      </c>
      <c r="H91" s="32"/>
      <c r="I91" s="32"/>
      <c r="J91" s="32"/>
      <c r="K91" s="32"/>
      <c r="L91" s="32"/>
      <c r="M91" s="32"/>
      <c r="N91" s="32"/>
      <c r="O91" s="32"/>
      <c r="P91" s="32"/>
    </row>
    <row r="92" spans="1:16" ht="29.25" customHeight="1" x14ac:dyDescent="0.2">
      <c r="A92" s="29">
        <v>91</v>
      </c>
      <c r="B92" s="47" t="s">
        <v>49</v>
      </c>
      <c r="C92" s="48" t="s">
        <v>269</v>
      </c>
      <c r="D92" s="49" t="s">
        <v>527</v>
      </c>
      <c r="E92" s="50" t="s">
        <v>528</v>
      </c>
      <c r="F92" s="51" t="s">
        <v>284</v>
      </c>
      <c r="G92" s="39">
        <v>9846403131</v>
      </c>
      <c r="H92" s="32"/>
      <c r="I92" s="32"/>
      <c r="J92" s="32"/>
      <c r="K92" s="32"/>
      <c r="L92" s="32"/>
      <c r="M92" s="32"/>
      <c r="N92" s="32"/>
      <c r="O92" s="32"/>
      <c r="P92" s="32"/>
    </row>
    <row r="93" spans="1:16" ht="29.25" customHeight="1" x14ac:dyDescent="0.2">
      <c r="A93" s="36">
        <v>92</v>
      </c>
      <c r="B93" s="52" t="s">
        <v>150</v>
      </c>
      <c r="C93" s="54" t="s">
        <v>265</v>
      </c>
      <c r="D93" s="54"/>
      <c r="E93" s="55" t="s">
        <v>259</v>
      </c>
      <c r="F93" s="64"/>
      <c r="G93" s="39" t="s">
        <v>259</v>
      </c>
      <c r="H93" s="32"/>
      <c r="I93" s="32"/>
      <c r="J93" s="32"/>
      <c r="K93" s="32"/>
      <c r="L93" s="32"/>
      <c r="M93" s="32"/>
      <c r="N93" s="32"/>
      <c r="O93" s="32"/>
      <c r="P93" s="32"/>
    </row>
    <row r="94" spans="1:16" ht="29.25" customHeight="1" x14ac:dyDescent="0.2">
      <c r="A94" s="29">
        <v>93</v>
      </c>
      <c r="B94" s="47" t="s">
        <v>67</v>
      </c>
      <c r="C94" s="48" t="s">
        <v>297</v>
      </c>
      <c r="D94" s="49" t="s">
        <v>529</v>
      </c>
      <c r="E94" s="50" t="s">
        <v>530</v>
      </c>
      <c r="F94" s="51" t="s">
        <v>301</v>
      </c>
      <c r="G94" s="39">
        <v>9946459008</v>
      </c>
      <c r="H94" s="32"/>
      <c r="I94" s="32"/>
      <c r="J94" s="32"/>
      <c r="K94" s="32"/>
      <c r="L94" s="32"/>
      <c r="M94" s="32"/>
      <c r="N94" s="32"/>
      <c r="O94" s="32"/>
      <c r="P94" s="32"/>
    </row>
    <row r="95" spans="1:16" ht="29.25" customHeight="1" x14ac:dyDescent="0.2">
      <c r="A95" s="36">
        <v>94</v>
      </c>
      <c r="B95" s="52" t="s">
        <v>50</v>
      </c>
      <c r="C95" s="61" t="s">
        <v>269</v>
      </c>
      <c r="D95" s="54" t="s">
        <v>531</v>
      </c>
      <c r="E95" s="55" t="s">
        <v>532</v>
      </c>
      <c r="F95" s="62" t="s">
        <v>533</v>
      </c>
      <c r="G95" s="39">
        <v>9495360199</v>
      </c>
      <c r="H95" s="32"/>
      <c r="I95" s="32"/>
      <c r="J95" s="32"/>
      <c r="K95" s="32"/>
      <c r="L95" s="32"/>
      <c r="M95" s="32"/>
      <c r="N95" s="32"/>
      <c r="O95" s="32"/>
      <c r="P95" s="32"/>
    </row>
    <row r="96" spans="1:16" ht="29.25" customHeight="1" x14ac:dyDescent="0.2">
      <c r="A96" s="29">
        <v>95</v>
      </c>
      <c r="B96" s="47" t="s">
        <v>51</v>
      </c>
      <c r="C96" s="48" t="s">
        <v>269</v>
      </c>
      <c r="D96" s="49" t="s">
        <v>534</v>
      </c>
      <c r="E96" s="50" t="s">
        <v>535</v>
      </c>
      <c r="F96" s="51" t="s">
        <v>536</v>
      </c>
      <c r="G96" s="39">
        <v>9847846670</v>
      </c>
      <c r="H96" s="32"/>
      <c r="I96" s="32"/>
      <c r="J96" s="32"/>
      <c r="K96" s="32"/>
      <c r="L96" s="32"/>
      <c r="M96" s="32"/>
      <c r="N96" s="32"/>
      <c r="O96" s="32"/>
      <c r="P96" s="32"/>
    </row>
    <row r="97" spans="1:16" ht="29.25" customHeight="1" x14ac:dyDescent="0.2">
      <c r="A97" s="36">
        <v>96</v>
      </c>
      <c r="B97" s="52" t="s">
        <v>537</v>
      </c>
      <c r="C97" s="61" t="s">
        <v>269</v>
      </c>
      <c r="D97" s="54" t="s">
        <v>538</v>
      </c>
      <c r="E97" s="55" t="s">
        <v>539</v>
      </c>
      <c r="F97" s="62" t="s">
        <v>435</v>
      </c>
      <c r="G97" s="39">
        <v>9745459454</v>
      </c>
      <c r="H97" s="32"/>
      <c r="I97" s="32"/>
      <c r="J97" s="32"/>
      <c r="K97" s="32"/>
      <c r="L97" s="32"/>
      <c r="M97" s="32"/>
      <c r="N97" s="32"/>
      <c r="O97" s="32"/>
      <c r="P97" s="32"/>
    </row>
    <row r="98" spans="1:16" ht="29.25" customHeight="1" x14ac:dyDescent="0.2">
      <c r="A98" s="29">
        <v>97</v>
      </c>
      <c r="B98" s="47" t="s">
        <v>89</v>
      </c>
      <c r="C98" s="57" t="s">
        <v>292</v>
      </c>
      <c r="D98" s="49" t="s">
        <v>540</v>
      </c>
      <c r="E98" s="50" t="s">
        <v>541</v>
      </c>
      <c r="F98" s="58" t="s">
        <v>301</v>
      </c>
      <c r="G98" s="39" t="s">
        <v>542</v>
      </c>
      <c r="H98" s="32"/>
      <c r="I98" s="32"/>
      <c r="J98" s="32"/>
      <c r="K98" s="32"/>
      <c r="L98" s="32"/>
      <c r="M98" s="32"/>
      <c r="N98" s="32"/>
      <c r="O98" s="32"/>
      <c r="P98" s="32"/>
    </row>
    <row r="99" spans="1:16" ht="29.25" customHeight="1" x14ac:dyDescent="0.2">
      <c r="A99" s="36">
        <v>98</v>
      </c>
      <c r="B99" s="52" t="s">
        <v>68</v>
      </c>
      <c r="C99" s="61" t="s">
        <v>297</v>
      </c>
      <c r="D99" s="54" t="s">
        <v>543</v>
      </c>
      <c r="E99" s="55" t="s">
        <v>544</v>
      </c>
      <c r="F99" s="62" t="s">
        <v>545</v>
      </c>
      <c r="G99" s="39">
        <v>9633812737</v>
      </c>
      <c r="H99" s="32"/>
      <c r="I99" s="32"/>
      <c r="J99" s="32"/>
      <c r="K99" s="32"/>
      <c r="L99" s="32"/>
      <c r="M99" s="32"/>
      <c r="N99" s="32"/>
      <c r="O99" s="32"/>
      <c r="P99" s="32"/>
    </row>
    <row r="100" spans="1:16" ht="29.25" customHeight="1" x14ac:dyDescent="0.2">
      <c r="A100" s="29">
        <v>99</v>
      </c>
      <c r="B100" s="47" t="s">
        <v>152</v>
      </c>
      <c r="C100" s="57" t="s">
        <v>118</v>
      </c>
      <c r="D100" s="49" t="s">
        <v>285</v>
      </c>
      <c r="E100" s="50" t="s">
        <v>546</v>
      </c>
      <c r="F100" s="63" t="s">
        <v>435</v>
      </c>
      <c r="G100" s="39" t="s">
        <v>547</v>
      </c>
      <c r="H100" s="32"/>
      <c r="I100" s="65"/>
      <c r="J100" s="32"/>
      <c r="K100" s="32"/>
      <c r="L100" s="32"/>
      <c r="M100" s="32"/>
      <c r="N100" s="32"/>
      <c r="O100" s="32"/>
      <c r="P100" s="32"/>
    </row>
    <row r="101" spans="1:16" ht="29.25" customHeight="1" x14ac:dyDescent="0.2">
      <c r="A101" s="36">
        <v>100</v>
      </c>
      <c r="B101" s="52" t="s">
        <v>69</v>
      </c>
      <c r="C101" s="61" t="s">
        <v>297</v>
      </c>
      <c r="D101" s="54" t="s">
        <v>548</v>
      </c>
      <c r="E101" s="55" t="s">
        <v>549</v>
      </c>
      <c r="F101" s="62" t="s">
        <v>435</v>
      </c>
      <c r="G101" s="39">
        <v>8089815813</v>
      </c>
      <c r="H101" s="32"/>
      <c r="I101" s="32"/>
      <c r="J101" s="32"/>
      <c r="K101" s="32"/>
      <c r="L101" s="32"/>
      <c r="M101" s="32"/>
      <c r="N101" s="32"/>
      <c r="O101" s="32"/>
      <c r="P101" s="32"/>
    </row>
    <row r="102" spans="1:16" ht="29.25" customHeight="1" x14ac:dyDescent="0.2">
      <c r="A102" s="29">
        <v>101</v>
      </c>
      <c r="B102" s="47" t="s">
        <v>173</v>
      </c>
      <c r="C102" s="57" t="s">
        <v>118</v>
      </c>
      <c r="D102" s="49" t="s">
        <v>369</v>
      </c>
      <c r="E102" s="50" t="s">
        <v>550</v>
      </c>
      <c r="F102" s="63" t="s">
        <v>301</v>
      </c>
      <c r="G102" s="39" t="s">
        <v>551</v>
      </c>
      <c r="H102" s="32"/>
      <c r="I102" s="32"/>
      <c r="J102" s="32"/>
      <c r="K102" s="32"/>
      <c r="L102" s="32"/>
      <c r="M102" s="32"/>
      <c r="N102" s="32"/>
      <c r="O102" s="32"/>
      <c r="P102" s="32"/>
    </row>
    <row r="103" spans="1:16" ht="29.25" customHeight="1" x14ac:dyDescent="0.2">
      <c r="A103" s="36">
        <v>102</v>
      </c>
      <c r="B103" s="52" t="s">
        <v>165</v>
      </c>
      <c r="C103" s="53" t="s">
        <v>118</v>
      </c>
      <c r="D103" s="54" t="s">
        <v>552</v>
      </c>
      <c r="E103" s="55" t="s">
        <v>553</v>
      </c>
      <c r="F103" s="56" t="s">
        <v>301</v>
      </c>
      <c r="G103" s="39" t="s">
        <v>554</v>
      </c>
      <c r="H103" s="32"/>
      <c r="I103" s="32"/>
      <c r="J103" s="32"/>
      <c r="K103" s="32"/>
      <c r="L103" s="32"/>
      <c r="M103" s="32"/>
      <c r="N103" s="32"/>
      <c r="O103" s="32"/>
      <c r="P103" s="32"/>
    </row>
    <row r="104" spans="1:16" ht="29.25" customHeight="1" x14ac:dyDescent="0.2">
      <c r="A104" s="29">
        <v>103</v>
      </c>
      <c r="B104" s="47" t="s">
        <v>109</v>
      </c>
      <c r="C104" s="57" t="s">
        <v>277</v>
      </c>
      <c r="D104" s="49" t="s">
        <v>555</v>
      </c>
      <c r="E104" s="50" t="s">
        <v>556</v>
      </c>
      <c r="F104" s="58" t="s">
        <v>280</v>
      </c>
      <c r="G104" s="39" t="s">
        <v>557</v>
      </c>
      <c r="H104" s="32"/>
      <c r="I104" s="32"/>
      <c r="J104" s="32"/>
      <c r="K104" s="32"/>
      <c r="L104" s="32"/>
      <c r="M104" s="32"/>
      <c r="N104" s="32"/>
      <c r="O104" s="32"/>
      <c r="P104" s="32"/>
    </row>
    <row r="105" spans="1:16" ht="29.25" customHeight="1" x14ac:dyDescent="0.2">
      <c r="A105" s="36">
        <v>104</v>
      </c>
      <c r="B105" s="52" t="s">
        <v>70</v>
      </c>
      <c r="C105" s="61" t="s">
        <v>297</v>
      </c>
      <c r="D105" s="54" t="s">
        <v>558</v>
      </c>
      <c r="E105" s="55" t="s">
        <v>559</v>
      </c>
      <c r="F105" s="62" t="s">
        <v>560</v>
      </c>
      <c r="G105" s="39">
        <v>9207464684</v>
      </c>
      <c r="H105" s="32"/>
      <c r="I105" s="32"/>
      <c r="J105" s="32"/>
      <c r="K105" s="32"/>
      <c r="L105" s="32"/>
      <c r="M105" s="32"/>
      <c r="N105" s="32"/>
      <c r="O105" s="32"/>
      <c r="P105" s="32"/>
    </row>
    <row r="106" spans="1:16" ht="29.25" customHeight="1" x14ac:dyDescent="0.2">
      <c r="A106" s="29">
        <v>105</v>
      </c>
      <c r="B106" s="47" t="s">
        <v>90</v>
      </c>
      <c r="C106" s="57" t="s">
        <v>292</v>
      </c>
      <c r="D106" s="49" t="s">
        <v>561</v>
      </c>
      <c r="E106" s="50" t="s">
        <v>562</v>
      </c>
      <c r="F106" s="58" t="s">
        <v>301</v>
      </c>
      <c r="G106" s="39" t="s">
        <v>563</v>
      </c>
      <c r="H106" s="32"/>
      <c r="I106" s="32"/>
      <c r="J106" s="32"/>
      <c r="K106" s="32"/>
      <c r="L106" s="32"/>
      <c r="M106" s="32"/>
      <c r="N106" s="32"/>
      <c r="O106" s="32"/>
      <c r="P106" s="32"/>
    </row>
    <row r="107" spans="1:16" ht="29.25" customHeight="1" x14ac:dyDescent="0.2">
      <c r="A107" s="36">
        <v>106</v>
      </c>
      <c r="B107" s="52" t="s">
        <v>71</v>
      </c>
      <c r="C107" s="61" t="s">
        <v>297</v>
      </c>
      <c r="D107" s="54" t="s">
        <v>564</v>
      </c>
      <c r="E107" s="55" t="s">
        <v>565</v>
      </c>
      <c r="F107" s="62" t="s">
        <v>442</v>
      </c>
      <c r="G107" s="39">
        <v>9539065167</v>
      </c>
      <c r="H107" s="32"/>
      <c r="I107" s="32"/>
      <c r="J107" s="32"/>
      <c r="K107" s="32"/>
      <c r="L107" s="32"/>
      <c r="M107" s="32"/>
      <c r="N107" s="32"/>
      <c r="O107" s="32"/>
      <c r="P107" s="32"/>
    </row>
    <row r="108" spans="1:16" ht="29.25" customHeight="1" x14ac:dyDescent="0.2">
      <c r="A108" s="29">
        <v>107</v>
      </c>
      <c r="B108" s="47" t="s">
        <v>127</v>
      </c>
      <c r="C108" s="57" t="s">
        <v>298</v>
      </c>
      <c r="D108" s="49" t="s">
        <v>566</v>
      </c>
      <c r="E108" s="50" t="s">
        <v>567</v>
      </c>
      <c r="F108" s="63" t="s">
        <v>386</v>
      </c>
      <c r="G108" s="39" t="s">
        <v>568</v>
      </c>
      <c r="H108" s="32"/>
      <c r="I108" s="32"/>
      <c r="J108" s="32"/>
      <c r="K108" s="32"/>
      <c r="L108" s="32"/>
      <c r="M108" s="32"/>
      <c r="N108" s="32"/>
      <c r="O108" s="32"/>
      <c r="P108" s="32"/>
    </row>
    <row r="109" spans="1:16" ht="29.25" customHeight="1" x14ac:dyDescent="0.2">
      <c r="A109" s="36">
        <v>108</v>
      </c>
      <c r="B109" s="52" t="s">
        <v>166</v>
      </c>
      <c r="C109" s="53" t="s">
        <v>118</v>
      </c>
      <c r="D109" s="54" t="s">
        <v>561</v>
      </c>
      <c r="E109" s="55" t="s">
        <v>569</v>
      </c>
      <c r="F109" s="56" t="s">
        <v>301</v>
      </c>
      <c r="G109" s="39" t="s">
        <v>570</v>
      </c>
      <c r="H109" s="32"/>
      <c r="I109" s="32"/>
      <c r="J109" s="32"/>
      <c r="K109" s="32"/>
      <c r="L109" s="32"/>
      <c r="M109" s="32"/>
      <c r="N109" s="32"/>
      <c r="O109" s="32"/>
      <c r="P109" s="32"/>
    </row>
    <row r="110" spans="1:16" ht="29.25" customHeight="1" x14ac:dyDescent="0.2">
      <c r="A110" s="29">
        <v>109</v>
      </c>
      <c r="B110" s="47" t="s">
        <v>72</v>
      </c>
      <c r="C110" s="48" t="s">
        <v>297</v>
      </c>
      <c r="D110" s="49" t="s">
        <v>571</v>
      </c>
      <c r="E110" s="50" t="s">
        <v>572</v>
      </c>
      <c r="F110" s="51" t="s">
        <v>573</v>
      </c>
      <c r="G110" s="39">
        <v>7909159612</v>
      </c>
      <c r="H110" s="32"/>
      <c r="I110" s="32"/>
      <c r="J110" s="32"/>
      <c r="K110" s="32"/>
      <c r="L110" s="32"/>
      <c r="M110" s="32"/>
      <c r="N110" s="32"/>
      <c r="O110" s="32"/>
      <c r="P110" s="32"/>
    </row>
    <row r="111" spans="1:16" ht="29.25" customHeight="1" x14ac:dyDescent="0.2">
      <c r="A111" s="36">
        <v>110</v>
      </c>
      <c r="B111" s="52" t="s">
        <v>110</v>
      </c>
      <c r="C111" s="53" t="s">
        <v>277</v>
      </c>
      <c r="D111" s="54" t="s">
        <v>574</v>
      </c>
      <c r="E111" s="55" t="s">
        <v>575</v>
      </c>
      <c r="F111" s="64"/>
      <c r="G111" s="39" t="s">
        <v>576</v>
      </c>
      <c r="H111" s="32"/>
      <c r="I111" s="32"/>
      <c r="J111" s="32"/>
      <c r="K111" s="32"/>
      <c r="L111" s="32"/>
      <c r="M111" s="32"/>
      <c r="N111" s="32"/>
      <c r="O111" s="32"/>
      <c r="P111" s="32"/>
    </row>
    <row r="112" spans="1:16" ht="29.25" customHeight="1" x14ac:dyDescent="0.2">
      <c r="A112" s="29">
        <v>111</v>
      </c>
      <c r="B112" s="47" t="s">
        <v>577</v>
      </c>
      <c r="C112" s="48" t="s">
        <v>269</v>
      </c>
      <c r="D112" s="49" t="s">
        <v>578</v>
      </c>
      <c r="E112" s="50" t="s">
        <v>579</v>
      </c>
      <c r="F112" s="51" t="s">
        <v>301</v>
      </c>
      <c r="G112" s="39"/>
      <c r="H112" s="32"/>
      <c r="I112" s="32"/>
      <c r="J112" s="32"/>
      <c r="K112" s="32"/>
      <c r="L112" s="32"/>
      <c r="M112" s="32"/>
      <c r="N112" s="32"/>
      <c r="O112" s="32"/>
      <c r="P112" s="32"/>
    </row>
    <row r="113" spans="1:16" ht="29.25" customHeight="1" x14ac:dyDescent="0.2">
      <c r="A113" s="36">
        <v>112</v>
      </c>
      <c r="B113" s="52" t="s">
        <v>52</v>
      </c>
      <c r="C113" s="61" t="s">
        <v>269</v>
      </c>
      <c r="D113" s="54" t="s">
        <v>580</v>
      </c>
      <c r="E113" s="55" t="s">
        <v>581</v>
      </c>
      <c r="F113" s="62" t="s">
        <v>477</v>
      </c>
      <c r="G113" s="39">
        <v>9188347949</v>
      </c>
      <c r="H113" s="32"/>
      <c r="I113" s="32"/>
      <c r="J113" s="32"/>
      <c r="K113" s="32"/>
      <c r="L113" s="32"/>
      <c r="M113" s="32"/>
      <c r="N113" s="32"/>
      <c r="O113" s="32"/>
      <c r="P113" s="32"/>
    </row>
    <row r="114" spans="1:16" ht="29.25" customHeight="1" x14ac:dyDescent="0.2">
      <c r="A114" s="29">
        <v>113</v>
      </c>
      <c r="B114" s="47" t="s">
        <v>73</v>
      </c>
      <c r="C114" s="48" t="s">
        <v>297</v>
      </c>
      <c r="D114" s="49" t="s">
        <v>582</v>
      </c>
      <c r="E114" s="50" t="s">
        <v>583</v>
      </c>
      <c r="F114" s="51" t="s">
        <v>584</v>
      </c>
      <c r="G114" s="39"/>
      <c r="H114" s="32"/>
      <c r="I114" s="32"/>
      <c r="J114" s="32"/>
      <c r="K114" s="32"/>
      <c r="L114" s="32"/>
      <c r="M114" s="32"/>
      <c r="N114" s="32"/>
      <c r="O114" s="32"/>
      <c r="P114" s="32"/>
    </row>
    <row r="115" spans="1:16" ht="29.25" customHeight="1" x14ac:dyDescent="0.2">
      <c r="A115" s="36">
        <v>114</v>
      </c>
      <c r="B115" s="52" t="s">
        <v>128</v>
      </c>
      <c r="C115" s="53" t="s">
        <v>298</v>
      </c>
      <c r="D115" s="54" t="s">
        <v>585</v>
      </c>
      <c r="E115" s="55" t="s">
        <v>586</v>
      </c>
      <c r="F115" s="56" t="s">
        <v>316</v>
      </c>
      <c r="G115" s="39" t="s">
        <v>587</v>
      </c>
      <c r="H115" s="32"/>
      <c r="I115" s="32"/>
      <c r="J115" s="32"/>
      <c r="K115" s="32"/>
      <c r="L115" s="32"/>
      <c r="M115" s="32"/>
      <c r="N115" s="32"/>
      <c r="O115" s="32"/>
      <c r="P115" s="32"/>
    </row>
    <row r="116" spans="1:16" ht="29.25" customHeight="1" x14ac:dyDescent="0.2">
      <c r="A116" s="29">
        <v>115</v>
      </c>
      <c r="B116" s="47" t="s">
        <v>185</v>
      </c>
      <c r="C116" s="57" t="s">
        <v>118</v>
      </c>
      <c r="D116" s="49" t="s">
        <v>588</v>
      </c>
      <c r="E116" s="50" t="s">
        <v>589</v>
      </c>
      <c r="F116" s="63" t="s">
        <v>287</v>
      </c>
      <c r="G116" s="39" t="s">
        <v>590</v>
      </c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29.25" customHeight="1" x14ac:dyDescent="0.2">
      <c r="A117" s="36">
        <v>116</v>
      </c>
      <c r="B117" s="52" t="s">
        <v>238</v>
      </c>
      <c r="C117" s="53" t="s">
        <v>265</v>
      </c>
      <c r="D117" s="54"/>
      <c r="E117" s="55" t="s">
        <v>591</v>
      </c>
      <c r="F117" s="56" t="s">
        <v>301</v>
      </c>
      <c r="G117" s="39" t="s">
        <v>592</v>
      </c>
      <c r="H117" s="32"/>
      <c r="I117" s="32"/>
      <c r="J117" s="32"/>
      <c r="K117" s="32"/>
      <c r="L117" s="32"/>
      <c r="M117" s="32"/>
      <c r="N117" s="32"/>
      <c r="O117" s="32"/>
      <c r="P117" s="32"/>
    </row>
    <row r="118" spans="1:16" ht="29.25" customHeight="1" x14ac:dyDescent="0.2">
      <c r="A118" s="29">
        <v>117</v>
      </c>
      <c r="B118" s="47" t="s">
        <v>111</v>
      </c>
      <c r="C118" s="57" t="s">
        <v>277</v>
      </c>
      <c r="D118" s="49" t="s">
        <v>593</v>
      </c>
      <c r="E118" s="50" t="s">
        <v>594</v>
      </c>
      <c r="F118" s="58" t="s">
        <v>536</v>
      </c>
      <c r="G118" s="39" t="s">
        <v>595</v>
      </c>
      <c r="H118" s="32"/>
      <c r="I118" s="32"/>
      <c r="J118" s="32"/>
      <c r="K118" s="32"/>
      <c r="L118" s="32"/>
      <c r="M118" s="32"/>
      <c r="N118" s="32"/>
      <c r="O118" s="32"/>
      <c r="P118" s="32"/>
    </row>
    <row r="119" spans="1:16" ht="29.25" customHeight="1" x14ac:dyDescent="0.2">
      <c r="A119" s="36">
        <v>118</v>
      </c>
      <c r="B119" s="52" t="s">
        <v>112</v>
      </c>
      <c r="C119" s="53" t="s">
        <v>277</v>
      </c>
      <c r="D119" s="54" t="s">
        <v>596</v>
      </c>
      <c r="E119" s="55" t="s">
        <v>597</v>
      </c>
      <c r="F119" s="59" t="s">
        <v>280</v>
      </c>
      <c r="G119" s="39" t="s">
        <v>598</v>
      </c>
      <c r="H119" s="32"/>
      <c r="I119" s="32"/>
      <c r="J119" s="32"/>
      <c r="K119" s="32"/>
      <c r="L119" s="32"/>
      <c r="M119" s="32"/>
      <c r="N119" s="32"/>
      <c r="O119" s="32"/>
      <c r="P119" s="32"/>
    </row>
    <row r="120" spans="1:16" ht="29.25" customHeight="1" x14ac:dyDescent="0.2">
      <c r="A120" s="29">
        <v>119</v>
      </c>
      <c r="B120" s="47" t="s">
        <v>167</v>
      </c>
      <c r="C120" s="57" t="s">
        <v>118</v>
      </c>
      <c r="D120" s="49" t="s">
        <v>599</v>
      </c>
      <c r="E120" s="50" t="s">
        <v>600</v>
      </c>
      <c r="F120" s="63" t="s">
        <v>301</v>
      </c>
      <c r="G120" s="39" t="s">
        <v>601</v>
      </c>
      <c r="H120" s="32"/>
      <c r="I120" s="32"/>
      <c r="J120" s="32"/>
      <c r="K120" s="32"/>
      <c r="L120" s="32"/>
      <c r="M120" s="32"/>
      <c r="N120" s="32"/>
      <c r="O120" s="32"/>
      <c r="P120" s="32"/>
    </row>
    <row r="121" spans="1:16" ht="29.25" customHeight="1" x14ac:dyDescent="0.2">
      <c r="A121" s="36">
        <v>120</v>
      </c>
      <c r="B121" s="52" t="s">
        <v>129</v>
      </c>
      <c r="C121" s="53" t="s">
        <v>298</v>
      </c>
      <c r="D121" s="54" t="s">
        <v>602</v>
      </c>
      <c r="E121" s="55" t="s">
        <v>603</v>
      </c>
      <c r="F121" s="56" t="s">
        <v>316</v>
      </c>
      <c r="G121" s="39" t="s">
        <v>604</v>
      </c>
      <c r="H121" s="32"/>
      <c r="I121" s="32"/>
      <c r="J121" s="32"/>
      <c r="K121" s="32"/>
      <c r="L121" s="32"/>
      <c r="M121" s="32"/>
      <c r="N121" s="32"/>
      <c r="O121" s="32"/>
      <c r="P121" s="32"/>
    </row>
    <row r="122" spans="1:16" ht="29.25" customHeight="1" x14ac:dyDescent="0.2">
      <c r="A122" s="29">
        <v>121</v>
      </c>
      <c r="B122" s="47" t="s">
        <v>74</v>
      </c>
      <c r="C122" s="48" t="s">
        <v>297</v>
      </c>
      <c r="D122" s="49" t="s">
        <v>605</v>
      </c>
      <c r="E122" s="50" t="s">
        <v>606</v>
      </c>
      <c r="F122" s="51" t="s">
        <v>301</v>
      </c>
      <c r="G122" s="39"/>
      <c r="H122" s="32"/>
      <c r="I122" s="32"/>
      <c r="J122" s="32"/>
      <c r="K122" s="32"/>
      <c r="L122" s="32"/>
      <c r="M122" s="32"/>
      <c r="N122" s="32"/>
      <c r="O122" s="32"/>
      <c r="P122" s="32"/>
    </row>
    <row r="123" spans="1:16" ht="29.25" customHeight="1" x14ac:dyDescent="0.2">
      <c r="A123" s="36">
        <v>122</v>
      </c>
      <c r="B123" s="52" t="s">
        <v>91</v>
      </c>
      <c r="C123" s="53" t="s">
        <v>292</v>
      </c>
      <c r="D123" s="54" t="s">
        <v>607</v>
      </c>
      <c r="E123" s="55" t="s">
        <v>608</v>
      </c>
      <c r="F123" s="59" t="s">
        <v>301</v>
      </c>
      <c r="G123" s="39" t="s">
        <v>609</v>
      </c>
      <c r="H123" s="32"/>
      <c r="I123" s="32"/>
      <c r="J123" s="32"/>
      <c r="K123" s="32"/>
      <c r="L123" s="32"/>
      <c r="M123" s="32"/>
      <c r="N123" s="32"/>
      <c r="O123" s="32"/>
      <c r="P123" s="32"/>
    </row>
    <row r="124" spans="1:16" ht="29.25" customHeight="1" x14ac:dyDescent="0.2">
      <c r="A124" s="29">
        <v>123</v>
      </c>
      <c r="B124" s="47" t="s">
        <v>53</v>
      </c>
      <c r="C124" s="48" t="s">
        <v>269</v>
      </c>
      <c r="D124" s="49" t="s">
        <v>610</v>
      </c>
      <c r="E124" s="50" t="s">
        <v>611</v>
      </c>
      <c r="F124" s="51" t="s">
        <v>573</v>
      </c>
      <c r="G124" s="39">
        <v>9946850916</v>
      </c>
      <c r="H124" s="32"/>
      <c r="I124" s="32"/>
      <c r="J124" s="32"/>
      <c r="K124" s="32"/>
      <c r="L124" s="32"/>
      <c r="M124" s="32"/>
      <c r="N124" s="32"/>
      <c r="O124" s="32"/>
      <c r="P124" s="32"/>
    </row>
    <row r="125" spans="1:16" ht="29.25" customHeight="1" x14ac:dyDescent="0.2">
      <c r="A125" s="36">
        <v>124</v>
      </c>
      <c r="B125" s="52" t="s">
        <v>177</v>
      </c>
      <c r="C125" s="53" t="s">
        <v>118</v>
      </c>
      <c r="D125" s="54" t="s">
        <v>612</v>
      </c>
      <c r="E125" s="55" t="s">
        <v>613</v>
      </c>
      <c r="F125" s="56" t="s">
        <v>301</v>
      </c>
      <c r="G125" s="39" t="s">
        <v>614</v>
      </c>
      <c r="H125" s="32"/>
      <c r="I125" s="32"/>
      <c r="J125" s="32"/>
      <c r="K125" s="32"/>
      <c r="L125" s="32"/>
      <c r="M125" s="32"/>
      <c r="N125" s="32"/>
      <c r="O125" s="32"/>
      <c r="P125" s="32"/>
    </row>
    <row r="126" spans="1:16" ht="29.25" customHeight="1" x14ac:dyDescent="0.2">
      <c r="A126" s="29">
        <v>125</v>
      </c>
      <c r="B126" s="47" t="s">
        <v>92</v>
      </c>
      <c r="C126" s="57" t="s">
        <v>292</v>
      </c>
      <c r="D126" s="49" t="s">
        <v>615</v>
      </c>
      <c r="E126" s="50" t="s">
        <v>616</v>
      </c>
      <c r="F126" s="58" t="s">
        <v>301</v>
      </c>
      <c r="G126" s="39" t="s">
        <v>617</v>
      </c>
      <c r="H126" s="32"/>
      <c r="I126" s="32"/>
      <c r="J126" s="32"/>
      <c r="K126" s="32"/>
      <c r="L126" s="32"/>
      <c r="M126" s="32"/>
      <c r="N126" s="32"/>
      <c r="O126" s="32"/>
      <c r="P126" s="32"/>
    </row>
    <row r="127" spans="1:16" ht="29.25" customHeight="1" x14ac:dyDescent="0.2">
      <c r="A127" s="36">
        <v>126</v>
      </c>
      <c r="B127" s="52" t="s">
        <v>131</v>
      </c>
      <c r="C127" s="53" t="s">
        <v>298</v>
      </c>
      <c r="D127" s="54" t="s">
        <v>618</v>
      </c>
      <c r="E127" s="55" t="s">
        <v>619</v>
      </c>
      <c r="F127" s="56" t="s">
        <v>301</v>
      </c>
      <c r="G127" s="39" t="s">
        <v>620</v>
      </c>
      <c r="H127" s="32"/>
      <c r="I127" s="32"/>
      <c r="J127" s="32"/>
      <c r="K127" s="32"/>
      <c r="L127" s="32"/>
      <c r="M127" s="32"/>
      <c r="N127" s="32"/>
      <c r="O127" s="32"/>
      <c r="P127" s="32"/>
    </row>
    <row r="128" spans="1:16" ht="29.25" customHeight="1" x14ac:dyDescent="0.2">
      <c r="A128" s="29">
        <v>127</v>
      </c>
      <c r="B128" s="47" t="s">
        <v>154</v>
      </c>
      <c r="C128" s="57" t="s">
        <v>118</v>
      </c>
      <c r="D128" s="49" t="s">
        <v>621</v>
      </c>
      <c r="E128" s="50" t="s">
        <v>622</v>
      </c>
      <c r="F128" s="63" t="s">
        <v>301</v>
      </c>
      <c r="G128" s="39" t="s">
        <v>623</v>
      </c>
      <c r="H128" s="32"/>
      <c r="I128" s="32"/>
      <c r="J128" s="32"/>
      <c r="K128" s="32"/>
      <c r="L128" s="32"/>
      <c r="M128" s="32"/>
      <c r="N128" s="32"/>
      <c r="O128" s="32"/>
      <c r="P128" s="32"/>
    </row>
    <row r="129" spans="1:16" ht="29.25" customHeight="1" x14ac:dyDescent="0.2">
      <c r="A129" s="36">
        <v>128</v>
      </c>
      <c r="B129" s="52" t="s">
        <v>93</v>
      </c>
      <c r="C129" s="53" t="s">
        <v>292</v>
      </c>
      <c r="D129" s="54" t="s">
        <v>624</v>
      </c>
      <c r="E129" s="55" t="s">
        <v>625</v>
      </c>
      <c r="F129" s="59" t="s">
        <v>301</v>
      </c>
      <c r="G129" s="39" t="s">
        <v>626</v>
      </c>
      <c r="H129" s="32"/>
      <c r="I129" s="32"/>
      <c r="J129" s="32"/>
      <c r="K129" s="32"/>
      <c r="L129" s="32"/>
      <c r="M129" s="32"/>
      <c r="N129" s="32"/>
      <c r="O129" s="32"/>
      <c r="P129" s="32"/>
    </row>
    <row r="130" spans="1:16" ht="29.25" customHeight="1" x14ac:dyDescent="0.2">
      <c r="A130" s="29">
        <v>129</v>
      </c>
      <c r="B130" s="47" t="s">
        <v>239</v>
      </c>
      <c r="C130" s="57" t="s">
        <v>265</v>
      </c>
      <c r="D130" s="49" t="s">
        <v>627</v>
      </c>
      <c r="E130" s="50" t="s">
        <v>628</v>
      </c>
      <c r="F130" s="63" t="s">
        <v>316</v>
      </c>
      <c r="G130" s="39" t="s">
        <v>629</v>
      </c>
      <c r="H130" s="32"/>
      <c r="I130" s="32"/>
      <c r="J130" s="32"/>
      <c r="K130" s="32"/>
      <c r="L130" s="32"/>
      <c r="M130" s="32"/>
      <c r="N130" s="32"/>
      <c r="O130" s="32"/>
      <c r="P130" s="32"/>
    </row>
    <row r="131" spans="1:16" ht="29.25" customHeight="1" x14ac:dyDescent="0.2">
      <c r="A131" s="36">
        <v>130</v>
      </c>
      <c r="B131" s="52" t="s">
        <v>113</v>
      </c>
      <c r="C131" s="53" t="s">
        <v>277</v>
      </c>
      <c r="D131" s="54" t="s">
        <v>630</v>
      </c>
      <c r="E131" s="55" t="s">
        <v>631</v>
      </c>
      <c r="F131" s="59" t="s">
        <v>287</v>
      </c>
      <c r="G131" s="39" t="s">
        <v>632</v>
      </c>
      <c r="H131" s="32"/>
      <c r="I131" s="32"/>
      <c r="J131" s="32"/>
      <c r="K131" s="32"/>
      <c r="L131" s="32"/>
      <c r="M131" s="32"/>
      <c r="N131" s="32"/>
      <c r="O131" s="32"/>
      <c r="P131" s="32"/>
    </row>
    <row r="132" spans="1:16" ht="29.25" customHeight="1" x14ac:dyDescent="0.2">
      <c r="A132" s="29">
        <v>131</v>
      </c>
      <c r="B132" s="47" t="s">
        <v>94</v>
      </c>
      <c r="C132" s="57" t="s">
        <v>292</v>
      </c>
      <c r="D132" s="49" t="s">
        <v>633</v>
      </c>
      <c r="E132" s="50" t="s">
        <v>634</v>
      </c>
      <c r="F132" s="58" t="s">
        <v>536</v>
      </c>
      <c r="G132" s="39" t="s">
        <v>635</v>
      </c>
      <c r="H132" s="32"/>
      <c r="I132" s="32"/>
      <c r="J132" s="32"/>
      <c r="K132" s="32"/>
      <c r="L132" s="32"/>
      <c r="M132" s="32"/>
      <c r="N132" s="32"/>
      <c r="O132" s="32"/>
      <c r="P132" s="32"/>
    </row>
    <row r="133" spans="1:16" ht="29.25" customHeight="1" x14ac:dyDescent="0.2">
      <c r="A133" s="36">
        <v>132</v>
      </c>
      <c r="B133" s="52" t="s">
        <v>75</v>
      </c>
      <c r="C133" s="61" t="s">
        <v>297</v>
      </c>
      <c r="D133" s="54" t="s">
        <v>585</v>
      </c>
      <c r="E133" s="55" t="s">
        <v>636</v>
      </c>
      <c r="F133" s="62" t="s">
        <v>637</v>
      </c>
      <c r="G133" s="39" t="s">
        <v>638</v>
      </c>
      <c r="H133" s="32"/>
      <c r="I133" s="32"/>
      <c r="J133" s="32"/>
      <c r="K133" s="32"/>
      <c r="L133" s="32"/>
      <c r="M133" s="32"/>
      <c r="N133" s="32"/>
      <c r="O133" s="32"/>
      <c r="P133" s="32"/>
    </row>
    <row r="134" spans="1:16" ht="29.25" customHeight="1" x14ac:dyDescent="0.2">
      <c r="A134" s="29">
        <v>133</v>
      </c>
      <c r="B134" s="47" t="s">
        <v>75</v>
      </c>
      <c r="C134" s="57" t="s">
        <v>277</v>
      </c>
      <c r="D134" s="49" t="s">
        <v>639</v>
      </c>
      <c r="E134" s="50" t="s">
        <v>640</v>
      </c>
      <c r="F134" s="58" t="s">
        <v>301</v>
      </c>
      <c r="G134" s="39"/>
      <c r="H134" s="32"/>
      <c r="I134" s="32"/>
      <c r="J134" s="32"/>
      <c r="K134" s="32"/>
      <c r="L134" s="32"/>
      <c r="M134" s="32"/>
      <c r="N134" s="32"/>
      <c r="O134" s="32"/>
      <c r="P134" s="32"/>
    </row>
    <row r="135" spans="1:16" ht="29.25" customHeight="1" x14ac:dyDescent="0.2">
      <c r="A135" s="36">
        <v>134</v>
      </c>
      <c r="B135" s="52" t="s">
        <v>114</v>
      </c>
      <c r="C135" s="53" t="s">
        <v>277</v>
      </c>
      <c r="D135" s="54" t="s">
        <v>641</v>
      </c>
      <c r="E135" s="55" t="s">
        <v>642</v>
      </c>
      <c r="F135" s="59" t="s">
        <v>305</v>
      </c>
      <c r="G135" s="39" t="s">
        <v>643</v>
      </c>
      <c r="H135" s="32"/>
      <c r="I135" s="32"/>
      <c r="J135" s="32"/>
      <c r="K135" s="32"/>
      <c r="L135" s="32"/>
      <c r="M135" s="32"/>
      <c r="N135" s="32"/>
      <c r="O135" s="32"/>
      <c r="P135" s="32"/>
    </row>
    <row r="136" spans="1:16" ht="29.25" customHeight="1" x14ac:dyDescent="0.2">
      <c r="A136" s="29">
        <v>135</v>
      </c>
      <c r="B136" s="47" t="s">
        <v>644</v>
      </c>
      <c r="C136" s="57" t="s">
        <v>292</v>
      </c>
      <c r="D136" s="49" t="s">
        <v>645</v>
      </c>
      <c r="E136" s="50" t="s">
        <v>646</v>
      </c>
      <c r="F136" s="58" t="s">
        <v>301</v>
      </c>
      <c r="G136" s="39" t="s">
        <v>647</v>
      </c>
      <c r="H136" s="32"/>
      <c r="I136" s="32"/>
      <c r="J136" s="32"/>
      <c r="K136" s="32"/>
      <c r="L136" s="32"/>
      <c r="M136" s="32"/>
      <c r="N136" s="32"/>
      <c r="O136" s="32"/>
      <c r="P136" s="32"/>
    </row>
    <row r="137" spans="1:16" ht="29.25" customHeight="1" x14ac:dyDescent="0.2">
      <c r="A137" s="36">
        <v>136</v>
      </c>
      <c r="B137" s="52" t="s">
        <v>76</v>
      </c>
      <c r="C137" s="54" t="s">
        <v>297</v>
      </c>
      <c r="D137" s="54"/>
      <c r="E137" s="55" t="s">
        <v>259</v>
      </c>
      <c r="F137" s="64"/>
      <c r="G137" s="39" t="s">
        <v>259</v>
      </c>
      <c r="H137" s="32"/>
      <c r="I137" s="32"/>
      <c r="J137" s="32"/>
      <c r="K137" s="32"/>
      <c r="L137" s="32"/>
      <c r="M137" s="32"/>
      <c r="N137" s="32"/>
      <c r="O137" s="32"/>
      <c r="P137" s="32"/>
    </row>
    <row r="138" spans="1:16" ht="29.25" customHeight="1" x14ac:dyDescent="0.2">
      <c r="A138" s="29">
        <v>137</v>
      </c>
      <c r="B138" s="47" t="s">
        <v>156</v>
      </c>
      <c r="C138" s="57" t="s">
        <v>118</v>
      </c>
      <c r="D138" s="49" t="s">
        <v>648</v>
      </c>
      <c r="E138" s="50" t="s">
        <v>649</v>
      </c>
      <c r="F138" s="63" t="s">
        <v>301</v>
      </c>
      <c r="G138" s="39" t="s">
        <v>650</v>
      </c>
      <c r="H138" s="32"/>
      <c r="I138" s="32"/>
      <c r="J138" s="32"/>
      <c r="K138" s="32"/>
      <c r="L138" s="32"/>
      <c r="M138" s="32"/>
      <c r="N138" s="32"/>
      <c r="O138" s="32"/>
      <c r="P138" s="32"/>
    </row>
    <row r="139" spans="1:16" ht="29.25" customHeight="1" x14ac:dyDescent="0.2">
      <c r="A139" s="36">
        <v>138</v>
      </c>
      <c r="B139" s="52" t="s">
        <v>54</v>
      </c>
      <c r="C139" s="61" t="s">
        <v>269</v>
      </c>
      <c r="D139" s="54" t="s">
        <v>651</v>
      </c>
      <c r="E139" s="55" t="s">
        <v>652</v>
      </c>
      <c r="F139" s="62" t="s">
        <v>312</v>
      </c>
      <c r="G139" s="39">
        <v>8281628900</v>
      </c>
      <c r="H139" s="32"/>
      <c r="I139" s="32"/>
      <c r="J139" s="32"/>
      <c r="K139" s="32"/>
      <c r="L139" s="32"/>
      <c r="M139" s="32"/>
      <c r="N139" s="32"/>
      <c r="O139" s="32"/>
      <c r="P139" s="32"/>
    </row>
    <row r="140" spans="1:16" ht="29.25" customHeight="1" x14ac:dyDescent="0.2">
      <c r="A140" s="29">
        <v>139</v>
      </c>
      <c r="B140" s="47" t="s">
        <v>115</v>
      </c>
      <c r="C140" s="57" t="s">
        <v>277</v>
      </c>
      <c r="D140" s="49" t="s">
        <v>648</v>
      </c>
      <c r="E140" s="50" t="s">
        <v>653</v>
      </c>
      <c r="F140" s="58" t="s">
        <v>301</v>
      </c>
      <c r="G140" s="39" t="s">
        <v>654</v>
      </c>
      <c r="H140" s="32"/>
      <c r="I140" s="32"/>
      <c r="J140" s="32"/>
      <c r="K140" s="32"/>
      <c r="L140" s="32"/>
      <c r="M140" s="32"/>
      <c r="N140" s="32"/>
      <c r="O140" s="32"/>
      <c r="P140" s="32"/>
    </row>
    <row r="141" spans="1:16" ht="29.25" customHeight="1" x14ac:dyDescent="0.2">
      <c r="A141" s="36">
        <v>140</v>
      </c>
      <c r="B141" s="52" t="s">
        <v>240</v>
      </c>
      <c r="C141" s="53" t="s">
        <v>265</v>
      </c>
      <c r="D141" s="54" t="s">
        <v>655</v>
      </c>
      <c r="E141" s="55" t="s">
        <v>656</v>
      </c>
      <c r="F141" s="56" t="s">
        <v>267</v>
      </c>
      <c r="G141" s="39" t="s">
        <v>657</v>
      </c>
      <c r="H141" s="32"/>
      <c r="I141" s="32"/>
      <c r="J141" s="32"/>
      <c r="K141" s="32"/>
      <c r="L141" s="32"/>
      <c r="M141" s="32"/>
      <c r="N141" s="32"/>
      <c r="O141" s="32"/>
      <c r="P141" s="32"/>
    </row>
    <row r="142" spans="1:16" ht="29.25" customHeight="1" x14ac:dyDescent="0.2">
      <c r="A142" s="29">
        <v>141</v>
      </c>
      <c r="B142" s="47" t="s">
        <v>77</v>
      </c>
      <c r="C142" s="48" t="s">
        <v>297</v>
      </c>
      <c r="D142" s="49" t="s">
        <v>658</v>
      </c>
      <c r="E142" s="50" t="s">
        <v>659</v>
      </c>
      <c r="F142" s="51" t="s">
        <v>660</v>
      </c>
      <c r="G142" s="39">
        <v>9446828888</v>
      </c>
      <c r="H142" s="32"/>
      <c r="I142" s="32"/>
      <c r="J142" s="32"/>
      <c r="K142" s="32"/>
      <c r="L142" s="32"/>
      <c r="M142" s="32"/>
      <c r="N142" s="32"/>
      <c r="O142" s="32"/>
      <c r="P142" s="32"/>
    </row>
    <row r="143" spans="1:16" ht="29.25" customHeight="1" x14ac:dyDescent="0.2">
      <c r="A143" s="36">
        <v>142</v>
      </c>
      <c r="B143" s="52" t="s">
        <v>132</v>
      </c>
      <c r="C143" s="53" t="s">
        <v>298</v>
      </c>
      <c r="D143" s="54" t="s">
        <v>661</v>
      </c>
      <c r="E143" s="55" t="s">
        <v>662</v>
      </c>
      <c r="F143" s="56" t="s">
        <v>301</v>
      </c>
      <c r="G143" s="39" t="s">
        <v>663</v>
      </c>
      <c r="H143" s="32"/>
      <c r="I143" s="32"/>
      <c r="J143" s="32"/>
      <c r="K143" s="32"/>
      <c r="L143" s="32"/>
      <c r="M143" s="32"/>
      <c r="N143" s="32"/>
      <c r="O143" s="32"/>
      <c r="P143" s="32"/>
    </row>
    <row r="144" spans="1:16" ht="29.25" customHeight="1" x14ac:dyDescent="0.2">
      <c r="A144" s="29">
        <v>143</v>
      </c>
      <c r="B144" s="47" t="s">
        <v>194</v>
      </c>
      <c r="C144" s="66" t="s">
        <v>356</v>
      </c>
      <c r="D144" s="49" t="s">
        <v>664</v>
      </c>
      <c r="E144" s="50" t="s">
        <v>665</v>
      </c>
      <c r="F144" s="58" t="s">
        <v>280</v>
      </c>
      <c r="G144" s="39" t="s">
        <v>666</v>
      </c>
      <c r="H144" s="32"/>
      <c r="I144" s="32"/>
      <c r="J144" s="32"/>
      <c r="K144" s="32"/>
      <c r="L144" s="32"/>
      <c r="M144" s="32"/>
      <c r="N144" s="32"/>
      <c r="O144" s="32"/>
      <c r="P144" s="32"/>
    </row>
    <row r="145" spans="1:16" ht="29.25" customHeight="1" x14ac:dyDescent="0.2">
      <c r="A145" s="36">
        <v>144</v>
      </c>
      <c r="B145" s="52" t="s">
        <v>96</v>
      </c>
      <c r="C145" s="53" t="s">
        <v>292</v>
      </c>
      <c r="D145" s="54" t="s">
        <v>667</v>
      </c>
      <c r="E145" s="55"/>
      <c r="F145" s="56" t="s">
        <v>287</v>
      </c>
      <c r="G145" s="39" t="s">
        <v>668</v>
      </c>
      <c r="H145" s="32"/>
      <c r="I145" s="32"/>
      <c r="J145" s="32"/>
      <c r="K145" s="32"/>
      <c r="L145" s="32"/>
      <c r="M145" s="32"/>
      <c r="N145" s="32"/>
      <c r="O145" s="32"/>
      <c r="P145" s="32"/>
    </row>
    <row r="146" spans="1:16" ht="29.25" customHeight="1" x14ac:dyDescent="0.2">
      <c r="A146" s="29">
        <v>145</v>
      </c>
      <c r="B146" s="47" t="s">
        <v>55</v>
      </c>
      <c r="C146" s="48" t="s">
        <v>269</v>
      </c>
      <c r="D146" s="49" t="s">
        <v>669</v>
      </c>
      <c r="E146" s="50" t="s">
        <v>670</v>
      </c>
      <c r="F146" s="51" t="s">
        <v>301</v>
      </c>
      <c r="G146" s="39">
        <v>9633764303</v>
      </c>
      <c r="H146" s="32"/>
      <c r="I146" s="32"/>
      <c r="J146" s="32"/>
      <c r="K146" s="32"/>
      <c r="L146" s="32"/>
      <c r="M146" s="32"/>
      <c r="N146" s="32"/>
      <c r="O146" s="32"/>
      <c r="P146" s="32"/>
    </row>
    <row r="147" spans="1:16" ht="29.25" customHeight="1" x14ac:dyDescent="0.2">
      <c r="A147" s="36">
        <v>146</v>
      </c>
      <c r="B147" s="52" t="s">
        <v>158</v>
      </c>
      <c r="C147" s="53" t="s">
        <v>118</v>
      </c>
      <c r="D147" s="54" t="s">
        <v>671</v>
      </c>
      <c r="E147" s="55" t="s">
        <v>672</v>
      </c>
      <c r="F147" s="56" t="s">
        <v>386</v>
      </c>
      <c r="G147" s="39" t="s">
        <v>673</v>
      </c>
      <c r="H147" s="32"/>
      <c r="I147" s="32"/>
      <c r="J147" s="32"/>
      <c r="K147" s="32"/>
      <c r="L147" s="32"/>
      <c r="M147" s="32"/>
      <c r="N147" s="32"/>
      <c r="O147" s="32"/>
      <c r="P147" s="32"/>
    </row>
    <row r="148" spans="1:16" ht="29.25" customHeight="1" x14ac:dyDescent="0.2">
      <c r="A148" s="29">
        <v>147</v>
      </c>
      <c r="B148" s="47" t="s">
        <v>78</v>
      </c>
      <c r="C148" s="48" t="s">
        <v>297</v>
      </c>
      <c r="D148" s="49" t="s">
        <v>674</v>
      </c>
      <c r="E148" s="50" t="s">
        <v>675</v>
      </c>
      <c r="F148" s="51" t="s">
        <v>284</v>
      </c>
      <c r="G148" s="44">
        <v>8943687460</v>
      </c>
      <c r="H148" s="32"/>
      <c r="I148" s="32"/>
      <c r="J148" s="32"/>
      <c r="K148" s="32"/>
      <c r="L148" s="32"/>
      <c r="M148" s="32"/>
      <c r="N148" s="32"/>
      <c r="O148" s="32"/>
      <c r="P148" s="32"/>
    </row>
    <row r="149" spans="1:16" ht="29.25" customHeight="1" x14ac:dyDescent="0.2">
      <c r="A149" s="36">
        <v>148</v>
      </c>
      <c r="B149" s="52" t="s">
        <v>97</v>
      </c>
      <c r="C149" s="53" t="s">
        <v>292</v>
      </c>
      <c r="D149" s="54" t="s">
        <v>676</v>
      </c>
      <c r="E149" s="55" t="s">
        <v>677</v>
      </c>
      <c r="F149" s="59" t="s">
        <v>301</v>
      </c>
      <c r="G149" s="39" t="s">
        <v>678</v>
      </c>
      <c r="H149" s="32"/>
      <c r="I149" s="32"/>
      <c r="J149" s="32"/>
      <c r="K149" s="32"/>
      <c r="L149" s="32"/>
      <c r="M149" s="32"/>
      <c r="N149" s="32"/>
      <c r="O149" s="32"/>
      <c r="P149" s="32"/>
    </row>
    <row r="150" spans="1:16" ht="29.25" customHeight="1" x14ac:dyDescent="0.2">
      <c r="A150" s="29">
        <v>149</v>
      </c>
      <c r="B150" s="47" t="s">
        <v>116</v>
      </c>
      <c r="C150" s="57" t="s">
        <v>277</v>
      </c>
      <c r="D150" s="49" t="s">
        <v>679</v>
      </c>
      <c r="E150" s="50" t="s">
        <v>680</v>
      </c>
      <c r="F150" s="58" t="s">
        <v>536</v>
      </c>
      <c r="G150" s="39" t="s">
        <v>681</v>
      </c>
      <c r="H150" s="32"/>
      <c r="I150" s="32"/>
      <c r="J150" s="32"/>
      <c r="K150" s="32"/>
      <c r="L150" s="32"/>
      <c r="M150" s="32"/>
      <c r="N150" s="32"/>
      <c r="O150" s="32"/>
      <c r="P150" s="32"/>
    </row>
    <row r="151" spans="1:16" ht="29.25" customHeight="1" x14ac:dyDescent="0.2">
      <c r="A151" s="36">
        <v>150</v>
      </c>
      <c r="B151" s="52" t="s">
        <v>215</v>
      </c>
      <c r="C151" s="61" t="s">
        <v>260</v>
      </c>
      <c r="D151" s="54" t="s">
        <v>682</v>
      </c>
      <c r="E151" s="55" t="s">
        <v>683</v>
      </c>
      <c r="F151" s="67" t="s">
        <v>280</v>
      </c>
      <c r="G151" s="39" t="s">
        <v>684</v>
      </c>
      <c r="H151" s="32"/>
      <c r="I151" s="32"/>
      <c r="J151" s="32"/>
      <c r="K151" s="32"/>
      <c r="L151" s="32"/>
      <c r="M151" s="32"/>
      <c r="N151" s="32"/>
      <c r="O151" s="32"/>
      <c r="P151" s="32"/>
    </row>
    <row r="152" spans="1:16" ht="29.25" customHeight="1" x14ac:dyDescent="0.2">
      <c r="A152" s="29">
        <v>151</v>
      </c>
      <c r="B152" s="47" t="s">
        <v>79</v>
      </c>
      <c r="C152" s="48" t="s">
        <v>297</v>
      </c>
      <c r="D152" s="49" t="s">
        <v>685</v>
      </c>
      <c r="E152" s="50" t="s">
        <v>686</v>
      </c>
      <c r="F152" s="51" t="s">
        <v>474</v>
      </c>
      <c r="G152" s="44">
        <v>9946322866</v>
      </c>
      <c r="H152" s="32"/>
      <c r="I152" s="32"/>
      <c r="J152" s="32"/>
      <c r="K152" s="32"/>
      <c r="L152" s="32"/>
      <c r="M152" s="32"/>
      <c r="N152" s="32"/>
      <c r="O152" s="32"/>
      <c r="P152" s="32"/>
    </row>
    <row r="153" spans="1:16" ht="29.25" customHeight="1" x14ac:dyDescent="0.2">
      <c r="A153" s="36">
        <v>152</v>
      </c>
      <c r="B153" s="33" t="s">
        <v>174</v>
      </c>
      <c r="C153" s="40" t="s">
        <v>118</v>
      </c>
      <c r="D153" s="29" t="s">
        <v>687</v>
      </c>
      <c r="E153" s="22" t="s">
        <v>688</v>
      </c>
      <c r="F153" s="41" t="s">
        <v>689</v>
      </c>
      <c r="G153" s="39" t="s">
        <v>690</v>
      </c>
      <c r="H153" s="32"/>
      <c r="I153" s="32"/>
      <c r="J153" s="32"/>
      <c r="K153" s="32"/>
      <c r="L153" s="32"/>
      <c r="M153" s="32"/>
      <c r="N153" s="32"/>
      <c r="O153" s="32"/>
      <c r="P153" s="32"/>
    </row>
    <row r="154" spans="1:16" ht="29.25" customHeight="1" x14ac:dyDescent="0.2">
      <c r="A154" s="29">
        <v>153</v>
      </c>
      <c r="B154" s="33" t="s">
        <v>56</v>
      </c>
      <c r="C154" s="37" t="s">
        <v>269</v>
      </c>
      <c r="D154" s="29" t="s">
        <v>691</v>
      </c>
      <c r="E154" s="22" t="s">
        <v>692</v>
      </c>
      <c r="F154" s="42" t="s">
        <v>693</v>
      </c>
      <c r="G154" s="39">
        <v>8078356241</v>
      </c>
      <c r="H154" s="32"/>
      <c r="I154" s="32"/>
      <c r="J154" s="32"/>
      <c r="K154" s="32"/>
      <c r="L154" s="32"/>
      <c r="M154" s="32"/>
      <c r="N154" s="32"/>
      <c r="O154" s="32"/>
      <c r="P154" s="32"/>
    </row>
    <row r="155" spans="1:16" ht="29.25" customHeight="1" x14ac:dyDescent="0.2">
      <c r="A155" s="36">
        <v>154</v>
      </c>
      <c r="B155" s="33" t="s">
        <v>133</v>
      </c>
      <c r="C155" s="40" t="s">
        <v>298</v>
      </c>
      <c r="D155" s="29" t="s">
        <v>694</v>
      </c>
      <c r="E155" s="22" t="s">
        <v>695</v>
      </c>
      <c r="F155" s="43" t="s">
        <v>536</v>
      </c>
      <c r="G155" s="39" t="s">
        <v>696</v>
      </c>
      <c r="H155" s="32"/>
      <c r="I155" s="32"/>
      <c r="J155" s="32"/>
      <c r="K155" s="32"/>
      <c r="L155" s="32"/>
      <c r="M155" s="32"/>
      <c r="N155" s="32"/>
      <c r="O155" s="32"/>
      <c r="P155" s="32"/>
    </row>
    <row r="156" spans="1:16" ht="29.25" customHeight="1" x14ac:dyDescent="0.2">
      <c r="A156" s="29">
        <v>155</v>
      </c>
      <c r="B156" s="33" t="s">
        <v>195</v>
      </c>
      <c r="C156" s="45" t="s">
        <v>356</v>
      </c>
      <c r="D156" s="29" t="s">
        <v>697</v>
      </c>
      <c r="E156" s="22" t="s">
        <v>698</v>
      </c>
      <c r="F156" s="43" t="s">
        <v>301</v>
      </c>
      <c r="G156" s="39" t="s">
        <v>699</v>
      </c>
      <c r="H156" s="32"/>
      <c r="I156" s="32"/>
      <c r="J156" s="32"/>
      <c r="K156" s="32"/>
      <c r="L156" s="32"/>
      <c r="M156" s="32"/>
      <c r="N156" s="32"/>
      <c r="O156" s="32"/>
      <c r="P156" s="32"/>
    </row>
    <row r="157" spans="1:16" ht="29.25" customHeight="1" x14ac:dyDescent="0.2">
      <c r="A157" s="36">
        <v>156</v>
      </c>
      <c r="B157" s="47" t="s">
        <v>196</v>
      </c>
      <c r="C157" s="49"/>
      <c r="D157" s="49"/>
      <c r="E157" s="50" t="s">
        <v>259</v>
      </c>
      <c r="F157" s="68"/>
      <c r="G157" s="39" t="s">
        <v>259</v>
      </c>
      <c r="H157" s="32"/>
      <c r="I157" s="32"/>
      <c r="J157" s="32"/>
      <c r="K157" s="32"/>
      <c r="L157" s="32"/>
      <c r="M157" s="32"/>
      <c r="N157" s="32"/>
      <c r="O157" s="32"/>
      <c r="P157" s="32"/>
    </row>
    <row r="158" spans="1:16" ht="29.25" customHeight="1" x14ac:dyDescent="0.2">
      <c r="A158" s="29">
        <v>157</v>
      </c>
      <c r="B158" s="52" t="s">
        <v>134</v>
      </c>
      <c r="C158" s="53" t="s">
        <v>298</v>
      </c>
      <c r="D158" s="54" t="s">
        <v>700</v>
      </c>
      <c r="E158" s="55"/>
      <c r="F158" s="59" t="s">
        <v>701</v>
      </c>
      <c r="G158" s="39" t="s">
        <v>702</v>
      </c>
      <c r="H158" s="32"/>
      <c r="I158" s="32"/>
      <c r="J158" s="32"/>
      <c r="K158" s="32"/>
      <c r="L158" s="32"/>
      <c r="M158" s="32"/>
      <c r="N158" s="32"/>
      <c r="O158" s="32"/>
      <c r="P158" s="32"/>
    </row>
    <row r="159" spans="1:16" ht="29.25" customHeight="1" x14ac:dyDescent="0.2">
      <c r="A159" s="36">
        <v>158</v>
      </c>
      <c r="B159" s="47" t="s">
        <v>57</v>
      </c>
      <c r="C159" s="48" t="s">
        <v>269</v>
      </c>
      <c r="D159" s="49" t="s">
        <v>703</v>
      </c>
      <c r="E159" s="50" t="s">
        <v>704</v>
      </c>
      <c r="F159" s="51" t="s">
        <v>705</v>
      </c>
      <c r="G159" s="46" t="s">
        <v>706</v>
      </c>
      <c r="H159" s="32"/>
      <c r="I159" s="32"/>
      <c r="J159" s="32"/>
      <c r="K159" s="32"/>
      <c r="L159" s="32"/>
      <c r="M159" s="32"/>
      <c r="N159" s="32"/>
      <c r="O159" s="32"/>
      <c r="P159" s="32"/>
    </row>
    <row r="160" spans="1:16" ht="29.25" customHeight="1" x14ac:dyDescent="0.2">
      <c r="A160" s="29">
        <v>159</v>
      </c>
      <c r="B160" s="52" t="s">
        <v>175</v>
      </c>
      <c r="C160" s="53" t="s">
        <v>118</v>
      </c>
      <c r="D160" s="54" t="s">
        <v>707</v>
      </c>
      <c r="E160" s="55" t="s">
        <v>708</v>
      </c>
      <c r="F160" s="56" t="s">
        <v>689</v>
      </c>
      <c r="G160" s="39" t="s">
        <v>709</v>
      </c>
      <c r="H160" s="32"/>
      <c r="I160" s="32"/>
      <c r="J160" s="32"/>
      <c r="K160" s="32"/>
      <c r="L160" s="32"/>
      <c r="M160" s="32"/>
      <c r="N160" s="32"/>
      <c r="O160" s="32"/>
      <c r="P160" s="32"/>
    </row>
    <row r="161" spans="1:16" ht="29.25" customHeight="1" x14ac:dyDescent="0.2">
      <c r="A161" s="36">
        <v>160</v>
      </c>
      <c r="B161" s="47" t="s">
        <v>216</v>
      </c>
      <c r="C161" s="48" t="s">
        <v>260</v>
      </c>
      <c r="D161" s="49" t="s">
        <v>710</v>
      </c>
      <c r="E161" s="50" t="s">
        <v>711</v>
      </c>
      <c r="F161" s="60" t="s">
        <v>301</v>
      </c>
      <c r="G161" s="39" t="s">
        <v>712</v>
      </c>
      <c r="H161" s="32"/>
      <c r="I161" s="32"/>
      <c r="J161" s="32"/>
      <c r="K161" s="32"/>
      <c r="L161" s="32"/>
      <c r="M161" s="32"/>
      <c r="N161" s="32"/>
      <c r="O161" s="32"/>
      <c r="P161" s="32"/>
    </row>
    <row r="162" spans="1:16" ht="29.25" customHeight="1" x14ac:dyDescent="0.2">
      <c r="A162" s="29">
        <v>161</v>
      </c>
      <c r="B162" s="52" t="s">
        <v>135</v>
      </c>
      <c r="C162" s="53" t="s">
        <v>298</v>
      </c>
      <c r="D162" s="54" t="s">
        <v>713</v>
      </c>
      <c r="E162" s="55" t="s">
        <v>714</v>
      </c>
      <c r="F162" s="59" t="s">
        <v>536</v>
      </c>
      <c r="G162" s="39"/>
      <c r="H162" s="32"/>
      <c r="I162" s="32"/>
      <c r="J162" s="32"/>
      <c r="K162" s="32"/>
      <c r="L162" s="32"/>
      <c r="M162" s="32"/>
      <c r="N162" s="32"/>
      <c r="O162" s="32"/>
      <c r="P162" s="32"/>
    </row>
    <row r="163" spans="1:16" ht="29.25" customHeight="1" x14ac:dyDescent="0.2">
      <c r="A163" s="36">
        <v>162</v>
      </c>
      <c r="B163" s="47" t="s">
        <v>98</v>
      </c>
      <c r="C163" s="57" t="s">
        <v>292</v>
      </c>
      <c r="D163" s="49" t="s">
        <v>715</v>
      </c>
      <c r="E163" s="50" t="s">
        <v>716</v>
      </c>
      <c r="F163" s="58" t="s">
        <v>316</v>
      </c>
      <c r="G163" s="39" t="s">
        <v>717</v>
      </c>
      <c r="H163" s="32"/>
      <c r="I163" s="32"/>
      <c r="J163" s="32"/>
      <c r="K163" s="32"/>
      <c r="L163" s="32"/>
      <c r="M163" s="32"/>
      <c r="N163" s="32"/>
      <c r="O163" s="32"/>
      <c r="P163" s="32"/>
    </row>
    <row r="164" spans="1:16" ht="29.25" customHeight="1" x14ac:dyDescent="0.2">
      <c r="A164" s="29">
        <v>163</v>
      </c>
      <c r="B164" s="52" t="s">
        <v>176</v>
      </c>
      <c r="C164" s="53" t="s">
        <v>118</v>
      </c>
      <c r="D164" s="54" t="s">
        <v>718</v>
      </c>
      <c r="E164" s="55" t="s">
        <v>719</v>
      </c>
      <c r="F164" s="56" t="s">
        <v>435</v>
      </c>
      <c r="G164" s="39" t="s">
        <v>720</v>
      </c>
      <c r="H164" s="32"/>
      <c r="I164" s="32"/>
      <c r="J164" s="32"/>
      <c r="K164" s="32"/>
      <c r="L164" s="32"/>
      <c r="M164" s="32"/>
      <c r="N164" s="32"/>
      <c r="O164" s="32"/>
      <c r="P164" s="32"/>
    </row>
    <row r="165" spans="1:16" ht="29.25" customHeight="1" x14ac:dyDescent="0.2">
      <c r="A165" s="36">
        <v>164</v>
      </c>
      <c r="B165" s="47" t="s">
        <v>186</v>
      </c>
      <c r="C165" s="57" t="s">
        <v>118</v>
      </c>
      <c r="D165" s="49" t="s">
        <v>721</v>
      </c>
      <c r="E165" s="50"/>
      <c r="F165" s="63" t="s">
        <v>457</v>
      </c>
      <c r="G165" s="39" t="s">
        <v>722</v>
      </c>
      <c r="H165" s="32"/>
      <c r="I165" s="32"/>
      <c r="J165" s="32"/>
      <c r="K165" s="32"/>
      <c r="L165" s="32"/>
      <c r="M165" s="32"/>
      <c r="N165" s="32"/>
      <c r="O165" s="32"/>
      <c r="P165" s="32"/>
    </row>
    <row r="166" spans="1:16" ht="29.25" customHeight="1" x14ac:dyDescent="0.2">
      <c r="A166" s="29">
        <v>165</v>
      </c>
      <c r="B166" s="52" t="s">
        <v>160</v>
      </c>
      <c r="C166" s="53" t="s">
        <v>118</v>
      </c>
      <c r="D166" s="54" t="s">
        <v>723</v>
      </c>
      <c r="E166" s="55" t="s">
        <v>724</v>
      </c>
      <c r="F166" s="56" t="s">
        <v>301</v>
      </c>
      <c r="G166" s="39" t="s">
        <v>725</v>
      </c>
      <c r="H166" s="32"/>
      <c r="I166" s="32"/>
      <c r="J166" s="32"/>
      <c r="K166" s="32"/>
      <c r="L166" s="32"/>
      <c r="M166" s="32"/>
      <c r="N166" s="32"/>
      <c r="O166" s="32"/>
      <c r="P166" s="32"/>
    </row>
    <row r="167" spans="1:16" ht="29.25" customHeight="1" x14ac:dyDescent="0.2">
      <c r="A167" s="36">
        <v>166</v>
      </c>
      <c r="B167" s="47" t="s">
        <v>99</v>
      </c>
      <c r="C167" s="57" t="s">
        <v>292</v>
      </c>
      <c r="D167" s="49" t="s">
        <v>726</v>
      </c>
      <c r="E167" s="50" t="s">
        <v>727</v>
      </c>
      <c r="F167" s="58" t="s">
        <v>280</v>
      </c>
      <c r="G167" s="39" t="s">
        <v>728</v>
      </c>
      <c r="H167" s="32"/>
      <c r="I167" s="32"/>
      <c r="J167" s="32"/>
      <c r="K167" s="32"/>
      <c r="L167" s="32"/>
      <c r="M167" s="32"/>
      <c r="N167" s="32"/>
      <c r="O167" s="32"/>
      <c r="P167" s="32"/>
    </row>
    <row r="168" spans="1:16" ht="29.25" customHeight="1" x14ac:dyDescent="0.2">
      <c r="A168" s="29">
        <v>167</v>
      </c>
      <c r="B168" s="52" t="s">
        <v>217</v>
      </c>
      <c r="C168" s="61" t="s">
        <v>260</v>
      </c>
      <c r="D168" s="54" t="s">
        <v>729</v>
      </c>
      <c r="E168" s="55" t="s">
        <v>730</v>
      </c>
      <c r="F168" s="67" t="s">
        <v>731</v>
      </c>
      <c r="G168" s="39" t="s">
        <v>732</v>
      </c>
      <c r="H168" s="32"/>
      <c r="I168" s="32"/>
      <c r="J168" s="32"/>
      <c r="K168" s="32"/>
      <c r="L168" s="32"/>
      <c r="M168" s="32"/>
      <c r="N168" s="32"/>
      <c r="O168" s="32"/>
      <c r="P168" s="32"/>
    </row>
    <row r="169" spans="1:16" ht="29.25" customHeight="1" x14ac:dyDescent="0.2">
      <c r="A169" s="36">
        <v>168</v>
      </c>
      <c r="B169" s="47" t="s">
        <v>197</v>
      </c>
      <c r="C169" s="66" t="s">
        <v>356</v>
      </c>
      <c r="D169" s="49" t="s">
        <v>733</v>
      </c>
      <c r="E169" s="50" t="s">
        <v>734</v>
      </c>
      <c r="F169" s="58" t="s">
        <v>386</v>
      </c>
      <c r="G169" s="39" t="s">
        <v>735</v>
      </c>
      <c r="H169" s="32"/>
      <c r="I169" s="32"/>
      <c r="J169" s="32"/>
      <c r="K169" s="32"/>
      <c r="L169" s="32"/>
      <c r="M169" s="32"/>
      <c r="N169" s="32"/>
      <c r="O169" s="32"/>
      <c r="P169" s="32"/>
    </row>
    <row r="170" spans="1:16" ht="29.25" customHeight="1" x14ac:dyDescent="0.2">
      <c r="A170" s="29">
        <v>169</v>
      </c>
      <c r="B170" s="52" t="s">
        <v>218</v>
      </c>
      <c r="C170" s="61" t="s">
        <v>260</v>
      </c>
      <c r="D170" s="54" t="s">
        <v>736</v>
      </c>
      <c r="E170" s="55" t="s">
        <v>737</v>
      </c>
      <c r="F170" s="64"/>
      <c r="G170" s="39" t="s">
        <v>738</v>
      </c>
      <c r="H170" s="32"/>
      <c r="I170" s="32"/>
      <c r="J170" s="32"/>
      <c r="K170" s="32"/>
      <c r="L170" s="32"/>
      <c r="M170" s="32"/>
      <c r="N170" s="32"/>
      <c r="O170" s="32"/>
      <c r="P170" s="32"/>
    </row>
    <row r="171" spans="1:16" ht="29.25" customHeight="1" x14ac:dyDescent="0.2">
      <c r="A171" s="36">
        <v>170</v>
      </c>
      <c r="B171" s="47" t="s">
        <v>219</v>
      </c>
      <c r="C171" s="48" t="s">
        <v>260</v>
      </c>
      <c r="D171" s="49" t="s">
        <v>739</v>
      </c>
      <c r="E171" s="50" t="s">
        <v>740</v>
      </c>
      <c r="F171" s="60" t="s">
        <v>741</v>
      </c>
      <c r="G171" s="39" t="s">
        <v>742</v>
      </c>
      <c r="H171" s="32"/>
      <c r="I171" s="32"/>
      <c r="J171" s="32"/>
      <c r="K171" s="32"/>
      <c r="L171" s="32"/>
      <c r="M171" s="32"/>
      <c r="N171" s="32"/>
      <c r="O171" s="32"/>
      <c r="P171" s="32"/>
    </row>
    <row r="172" spans="1:16" ht="29.25" customHeight="1" x14ac:dyDescent="0.2">
      <c r="A172" s="29">
        <v>171</v>
      </c>
      <c r="B172" s="52" t="s">
        <v>80</v>
      </c>
      <c r="C172" s="61" t="s">
        <v>297</v>
      </c>
      <c r="D172" s="54" t="s">
        <v>743</v>
      </c>
      <c r="E172" s="55" t="s">
        <v>744</v>
      </c>
      <c r="F172" s="62" t="s">
        <v>371</v>
      </c>
      <c r="G172" s="44">
        <v>9544676643</v>
      </c>
      <c r="H172" s="32"/>
      <c r="I172" s="32"/>
      <c r="J172" s="32"/>
      <c r="K172" s="32"/>
      <c r="L172" s="32"/>
      <c r="M172" s="32"/>
      <c r="N172" s="32"/>
      <c r="O172" s="32"/>
      <c r="P172" s="32"/>
    </row>
    <row r="173" spans="1:16" ht="29.25" customHeight="1" x14ac:dyDescent="0.2">
      <c r="A173" s="36">
        <v>172</v>
      </c>
      <c r="B173" s="47" t="s">
        <v>198</v>
      </c>
      <c r="C173" s="49"/>
      <c r="D173" s="49"/>
      <c r="E173" s="50" t="s">
        <v>259</v>
      </c>
      <c r="F173" s="68"/>
      <c r="G173" s="39" t="s">
        <v>259</v>
      </c>
      <c r="H173" s="32"/>
      <c r="I173" s="32"/>
      <c r="J173" s="32"/>
      <c r="K173" s="32"/>
      <c r="L173" s="32"/>
      <c r="M173" s="32"/>
      <c r="N173" s="32"/>
      <c r="O173" s="32"/>
      <c r="P173" s="32"/>
    </row>
    <row r="174" spans="1:16" ht="29.25" customHeight="1" x14ac:dyDescent="0.2">
      <c r="A174" s="29">
        <v>173</v>
      </c>
      <c r="B174" s="52" t="s">
        <v>168</v>
      </c>
      <c r="C174" s="53" t="s">
        <v>118</v>
      </c>
      <c r="D174" s="54" t="s">
        <v>445</v>
      </c>
      <c r="E174" s="55" t="s">
        <v>745</v>
      </c>
      <c r="F174" s="56" t="s">
        <v>312</v>
      </c>
      <c r="G174" s="39" t="s">
        <v>746</v>
      </c>
      <c r="H174" s="32"/>
      <c r="I174" s="32"/>
      <c r="J174" s="32"/>
      <c r="K174" s="32"/>
      <c r="L174" s="32"/>
      <c r="M174" s="32"/>
      <c r="N174" s="32"/>
      <c r="O174" s="32"/>
      <c r="P174" s="32"/>
    </row>
    <row r="175" spans="1:16" ht="29.25" customHeight="1" x14ac:dyDescent="0.2">
      <c r="A175" s="36">
        <v>174</v>
      </c>
      <c r="B175" s="48" t="s">
        <v>747</v>
      </c>
      <c r="C175" s="48" t="s">
        <v>297</v>
      </c>
      <c r="D175" s="49" t="s">
        <v>585</v>
      </c>
      <c r="E175" s="50" t="s">
        <v>748</v>
      </c>
      <c r="F175" s="51" t="s">
        <v>573</v>
      </c>
      <c r="G175" s="39">
        <v>9447544278</v>
      </c>
      <c r="H175" s="32"/>
      <c r="I175" s="32"/>
      <c r="J175" s="32"/>
      <c r="K175" s="32"/>
      <c r="L175" s="32"/>
      <c r="M175" s="32"/>
      <c r="N175" s="32"/>
      <c r="O175" s="32"/>
      <c r="P175" s="32"/>
    </row>
    <row r="176" spans="1:16" ht="29.25" customHeight="1" x14ac:dyDescent="0.2">
      <c r="A176" s="29">
        <v>175</v>
      </c>
      <c r="B176" s="52" t="s">
        <v>178</v>
      </c>
      <c r="C176" s="53" t="s">
        <v>118</v>
      </c>
      <c r="D176" s="54" t="s">
        <v>749</v>
      </c>
      <c r="E176" s="55" t="s">
        <v>750</v>
      </c>
      <c r="F176" s="56" t="s">
        <v>536</v>
      </c>
      <c r="G176" s="39" t="s">
        <v>751</v>
      </c>
      <c r="H176" s="32"/>
      <c r="I176" s="32"/>
      <c r="J176" s="32"/>
      <c r="K176" s="32"/>
      <c r="L176" s="32"/>
      <c r="M176" s="32"/>
      <c r="N176" s="32"/>
      <c r="O176" s="32"/>
      <c r="P176" s="32"/>
    </row>
    <row r="177" spans="1:7" ht="15" x14ac:dyDescent="0.25">
      <c r="A177" s="69"/>
      <c r="B177" s="69"/>
      <c r="C177" s="69"/>
      <c r="D177" s="69"/>
      <c r="E177" s="70"/>
      <c r="F177" s="71"/>
      <c r="G177" s="69"/>
    </row>
    <row r="178" spans="1:7" ht="15" x14ac:dyDescent="0.25">
      <c r="A178" s="69"/>
      <c r="B178" s="69"/>
      <c r="C178" s="69"/>
      <c r="D178" s="69"/>
      <c r="E178" s="70"/>
      <c r="F178" s="71"/>
      <c r="G178" s="69"/>
    </row>
    <row r="179" spans="1:7" ht="15" x14ac:dyDescent="0.25">
      <c r="A179" s="69"/>
      <c r="B179" s="69"/>
      <c r="C179" s="69"/>
      <c r="D179" s="69"/>
      <c r="E179" s="70"/>
      <c r="F179" s="71"/>
      <c r="G179" s="69"/>
    </row>
    <row r="180" spans="1:7" ht="15" x14ac:dyDescent="0.25">
      <c r="A180" s="69"/>
      <c r="B180" s="69"/>
      <c r="C180" s="69"/>
      <c r="D180" s="69"/>
      <c r="E180" s="70"/>
      <c r="F180" s="71"/>
      <c r="G180" s="69"/>
    </row>
    <row r="181" spans="1:7" ht="15" x14ac:dyDescent="0.25">
      <c r="A181" s="69"/>
      <c r="B181" s="69"/>
      <c r="C181" s="69"/>
      <c r="D181" s="69"/>
      <c r="E181" s="70"/>
      <c r="F181" s="71"/>
      <c r="G181" s="69"/>
    </row>
    <row r="182" spans="1:7" ht="15" x14ac:dyDescent="0.25">
      <c r="A182" s="69"/>
      <c r="B182" s="69"/>
      <c r="C182" s="69"/>
      <c r="D182" s="69"/>
      <c r="E182" s="70"/>
      <c r="F182" s="71"/>
      <c r="G182" s="69"/>
    </row>
    <row r="183" spans="1:7" ht="15" x14ac:dyDescent="0.25">
      <c r="A183" s="69"/>
      <c r="B183" s="69"/>
      <c r="C183" s="69"/>
      <c r="D183" s="69"/>
      <c r="E183" s="70"/>
      <c r="F183" s="71"/>
      <c r="G183" s="69"/>
    </row>
    <row r="184" spans="1:7" ht="15" x14ac:dyDescent="0.25">
      <c r="A184" s="69"/>
      <c r="B184" s="69"/>
      <c r="C184" s="69"/>
      <c r="D184" s="69"/>
      <c r="E184" s="70"/>
      <c r="F184" s="71"/>
      <c r="G184" s="69"/>
    </row>
    <row r="185" spans="1:7" ht="15" x14ac:dyDescent="0.25">
      <c r="A185" s="69"/>
      <c r="B185" s="69"/>
      <c r="C185" s="69"/>
      <c r="D185" s="69"/>
      <c r="E185" s="70"/>
      <c r="F185" s="71"/>
      <c r="G185" s="69"/>
    </row>
    <row r="186" spans="1:7" ht="15" x14ac:dyDescent="0.25">
      <c r="A186" s="69"/>
      <c r="B186" s="69"/>
      <c r="C186" s="69"/>
      <c r="D186" s="69"/>
      <c r="E186" s="70"/>
      <c r="F186" s="71"/>
      <c r="G186" s="69"/>
    </row>
    <row r="187" spans="1:7" ht="15" x14ac:dyDescent="0.25">
      <c r="A187" s="69"/>
      <c r="B187" s="69"/>
      <c r="C187" s="69"/>
      <c r="D187" s="69"/>
      <c r="E187" s="70"/>
      <c r="F187" s="71"/>
      <c r="G187" s="69"/>
    </row>
    <row r="188" spans="1:7" ht="15" x14ac:dyDescent="0.25">
      <c r="A188" s="69"/>
      <c r="B188" s="69"/>
      <c r="C188" s="69"/>
      <c r="D188" s="69"/>
      <c r="E188" s="70"/>
      <c r="F188" s="71"/>
      <c r="G188" s="69"/>
    </row>
    <row r="189" spans="1:7" ht="15" x14ac:dyDescent="0.25">
      <c r="A189" s="69"/>
      <c r="B189" s="69"/>
      <c r="C189" s="69"/>
      <c r="D189" s="69"/>
      <c r="E189" s="70"/>
      <c r="F189" s="71"/>
      <c r="G189" s="69"/>
    </row>
    <row r="190" spans="1:7" ht="15" x14ac:dyDescent="0.25">
      <c r="A190" s="69"/>
      <c r="B190" s="69"/>
      <c r="C190" s="69"/>
      <c r="D190" s="69"/>
      <c r="E190" s="70"/>
      <c r="F190" s="71"/>
      <c r="G190" s="69"/>
    </row>
    <row r="191" spans="1:7" ht="15" x14ac:dyDescent="0.25">
      <c r="A191" s="69"/>
      <c r="B191" s="69"/>
      <c r="C191" s="69"/>
      <c r="D191" s="69"/>
      <c r="E191" s="70"/>
      <c r="F191" s="71"/>
      <c r="G191" s="69"/>
    </row>
    <row r="192" spans="1:7" ht="15" x14ac:dyDescent="0.25">
      <c r="A192" s="69"/>
      <c r="B192" s="69"/>
      <c r="C192" s="69"/>
      <c r="D192" s="69"/>
      <c r="E192" s="70"/>
      <c r="F192" s="71"/>
      <c r="G192" s="69"/>
    </row>
    <row r="193" spans="1:7" ht="15" x14ac:dyDescent="0.25">
      <c r="A193" s="69"/>
      <c r="B193" s="69"/>
      <c r="C193" s="69"/>
      <c r="D193" s="69"/>
      <c r="E193" s="70"/>
      <c r="F193" s="71"/>
      <c r="G193" s="69"/>
    </row>
    <row r="194" spans="1:7" ht="15" x14ac:dyDescent="0.25">
      <c r="A194" s="69"/>
      <c r="B194" s="69"/>
      <c r="C194" s="69"/>
      <c r="D194" s="69"/>
      <c r="E194" s="70"/>
      <c r="F194" s="71"/>
      <c r="G194" s="69"/>
    </row>
    <row r="195" spans="1:7" ht="15" x14ac:dyDescent="0.25">
      <c r="A195" s="69"/>
      <c r="B195" s="69"/>
      <c r="C195" s="69"/>
      <c r="D195" s="69"/>
      <c r="E195" s="70"/>
      <c r="F195" s="71"/>
      <c r="G195" s="69"/>
    </row>
    <row r="196" spans="1:7" ht="15" x14ac:dyDescent="0.25">
      <c r="A196" s="69"/>
      <c r="B196" s="69"/>
      <c r="C196" s="69"/>
      <c r="D196" s="69"/>
      <c r="E196" s="70"/>
      <c r="F196" s="71"/>
      <c r="G196" s="69"/>
    </row>
    <row r="197" spans="1:7" ht="15" x14ac:dyDescent="0.25">
      <c r="A197" s="69"/>
      <c r="B197" s="69"/>
      <c r="C197" s="69"/>
      <c r="D197" s="69"/>
      <c r="E197" s="70"/>
      <c r="F197" s="71"/>
      <c r="G197" s="69"/>
    </row>
    <row r="198" spans="1:7" ht="15" x14ac:dyDescent="0.25">
      <c r="A198" s="69"/>
      <c r="B198" s="69"/>
      <c r="C198" s="69"/>
      <c r="D198" s="69"/>
      <c r="E198" s="70"/>
      <c r="F198" s="71"/>
      <c r="G198" s="69"/>
    </row>
    <row r="199" spans="1:7" ht="15" x14ac:dyDescent="0.25">
      <c r="A199" s="69"/>
      <c r="B199" s="69"/>
      <c r="C199" s="69"/>
      <c r="D199" s="69"/>
      <c r="E199" s="70"/>
      <c r="F199" s="71"/>
      <c r="G199" s="69"/>
    </row>
    <row r="200" spans="1:7" ht="15" x14ac:dyDescent="0.25">
      <c r="A200" s="69"/>
      <c r="B200" s="69"/>
      <c r="C200" s="69"/>
      <c r="D200" s="69"/>
      <c r="E200" s="70"/>
      <c r="F200" s="71"/>
      <c r="G200" s="69"/>
    </row>
    <row r="201" spans="1:7" ht="15" x14ac:dyDescent="0.25">
      <c r="A201" s="69"/>
      <c r="B201" s="69"/>
      <c r="C201" s="69"/>
      <c r="D201" s="69"/>
      <c r="E201" s="70"/>
      <c r="F201" s="71"/>
      <c r="G201" s="69"/>
    </row>
    <row r="202" spans="1:7" ht="15" x14ac:dyDescent="0.25">
      <c r="A202" s="69"/>
      <c r="B202" s="69"/>
      <c r="C202" s="69"/>
      <c r="D202" s="69"/>
      <c r="E202" s="70"/>
      <c r="F202" s="71"/>
      <c r="G202" s="69"/>
    </row>
    <row r="203" spans="1:7" ht="15" x14ac:dyDescent="0.25">
      <c r="A203" s="69"/>
      <c r="B203" s="69"/>
      <c r="C203" s="69"/>
      <c r="D203" s="69"/>
      <c r="E203" s="70"/>
      <c r="F203" s="71"/>
      <c r="G203" s="69"/>
    </row>
    <row r="204" spans="1:7" ht="15" x14ac:dyDescent="0.25">
      <c r="A204" s="69"/>
      <c r="B204" s="69"/>
      <c r="C204" s="69"/>
      <c r="D204" s="69"/>
      <c r="E204" s="70"/>
      <c r="F204" s="71"/>
      <c r="G204" s="69"/>
    </row>
    <row r="205" spans="1:7" ht="15" x14ac:dyDescent="0.25">
      <c r="A205" s="69"/>
      <c r="B205" s="69"/>
      <c r="C205" s="69"/>
      <c r="D205" s="69"/>
      <c r="E205" s="70"/>
      <c r="F205" s="71"/>
      <c r="G205" s="69"/>
    </row>
    <row r="206" spans="1:7" ht="15" x14ac:dyDescent="0.25">
      <c r="A206" s="69"/>
      <c r="B206" s="69"/>
      <c r="C206" s="69"/>
      <c r="D206" s="69"/>
      <c r="E206" s="70"/>
      <c r="F206" s="71"/>
      <c r="G206" s="69"/>
    </row>
    <row r="207" spans="1:7" ht="15" x14ac:dyDescent="0.25">
      <c r="A207" s="69"/>
      <c r="B207" s="69"/>
      <c r="C207" s="69"/>
      <c r="D207" s="69"/>
      <c r="E207" s="70"/>
      <c r="F207" s="71"/>
      <c r="G207" s="69"/>
    </row>
    <row r="208" spans="1:7" ht="15" x14ac:dyDescent="0.25">
      <c r="A208" s="69"/>
      <c r="B208" s="69"/>
      <c r="C208" s="69"/>
      <c r="D208" s="69"/>
      <c r="E208" s="70"/>
      <c r="F208" s="71"/>
      <c r="G208" s="69"/>
    </row>
    <row r="209" spans="1:7" ht="15" x14ac:dyDescent="0.25">
      <c r="A209" s="69"/>
      <c r="B209" s="69"/>
      <c r="C209" s="69"/>
      <c r="D209" s="69"/>
      <c r="E209" s="70"/>
      <c r="F209" s="71"/>
      <c r="G209" s="69"/>
    </row>
    <row r="210" spans="1:7" ht="15" x14ac:dyDescent="0.25">
      <c r="A210" s="69"/>
      <c r="B210" s="69"/>
      <c r="C210" s="69"/>
      <c r="D210" s="69"/>
      <c r="E210" s="70"/>
      <c r="F210" s="71"/>
      <c r="G210" s="69"/>
    </row>
    <row r="211" spans="1:7" ht="15" x14ac:dyDescent="0.25">
      <c r="A211" s="69"/>
      <c r="B211" s="69"/>
      <c r="C211" s="69"/>
      <c r="D211" s="69"/>
      <c r="E211" s="70"/>
      <c r="F211" s="71"/>
      <c r="G211" s="69"/>
    </row>
    <row r="212" spans="1:7" ht="15" x14ac:dyDescent="0.25">
      <c r="A212" s="69"/>
      <c r="B212" s="69"/>
      <c r="C212" s="69"/>
      <c r="D212" s="69"/>
      <c r="E212" s="70"/>
      <c r="F212" s="71"/>
      <c r="G212" s="69"/>
    </row>
    <row r="213" spans="1:7" ht="15" x14ac:dyDescent="0.25">
      <c r="A213" s="69"/>
      <c r="B213" s="69"/>
      <c r="C213" s="69"/>
      <c r="D213" s="69"/>
      <c r="E213" s="70"/>
      <c r="F213" s="71"/>
      <c r="G213" s="69"/>
    </row>
    <row r="214" spans="1:7" ht="15" x14ac:dyDescent="0.25">
      <c r="A214" s="69"/>
      <c r="B214" s="69"/>
      <c r="C214" s="69"/>
      <c r="D214" s="69"/>
      <c r="E214" s="70"/>
      <c r="F214" s="71"/>
      <c r="G214" s="69"/>
    </row>
    <row r="215" spans="1:7" ht="15" x14ac:dyDescent="0.25">
      <c r="A215" s="69"/>
      <c r="B215" s="69"/>
      <c r="C215" s="69"/>
      <c r="D215" s="69"/>
      <c r="E215" s="70"/>
      <c r="F215" s="71"/>
      <c r="G215" s="69"/>
    </row>
    <row r="216" spans="1:7" ht="15" x14ac:dyDescent="0.25">
      <c r="A216" s="69"/>
      <c r="B216" s="69"/>
      <c r="C216" s="69"/>
      <c r="D216" s="69"/>
      <c r="E216" s="70"/>
      <c r="F216" s="71"/>
      <c r="G216" s="69"/>
    </row>
    <row r="217" spans="1:7" ht="15" x14ac:dyDescent="0.25">
      <c r="A217" s="69"/>
      <c r="B217" s="69"/>
      <c r="C217" s="69"/>
      <c r="D217" s="69"/>
      <c r="E217" s="70"/>
      <c r="F217" s="71"/>
      <c r="G217" s="69"/>
    </row>
    <row r="218" spans="1:7" ht="15" x14ac:dyDescent="0.25">
      <c r="A218" s="69"/>
      <c r="B218" s="69"/>
      <c r="C218" s="69"/>
      <c r="D218" s="69"/>
      <c r="E218" s="70"/>
      <c r="F218" s="71"/>
      <c r="G218" s="69"/>
    </row>
    <row r="219" spans="1:7" ht="15" x14ac:dyDescent="0.25">
      <c r="A219" s="69"/>
      <c r="B219" s="69"/>
      <c r="C219" s="69"/>
      <c r="D219" s="69"/>
      <c r="E219" s="70"/>
      <c r="F219" s="71"/>
      <c r="G219" s="69"/>
    </row>
    <row r="220" spans="1:7" ht="15" x14ac:dyDescent="0.25">
      <c r="A220" s="69"/>
      <c r="B220" s="69"/>
      <c r="C220" s="69"/>
      <c r="D220" s="69"/>
      <c r="E220" s="70"/>
      <c r="F220" s="71"/>
      <c r="G220" s="69"/>
    </row>
    <row r="221" spans="1:7" ht="15" x14ac:dyDescent="0.25">
      <c r="A221" s="69"/>
      <c r="B221" s="69"/>
      <c r="C221" s="69"/>
      <c r="D221" s="69"/>
      <c r="E221" s="70"/>
      <c r="F221" s="71"/>
      <c r="G221" s="69"/>
    </row>
    <row r="222" spans="1:7" ht="15" x14ac:dyDescent="0.25">
      <c r="A222" s="69"/>
      <c r="B222" s="69"/>
      <c r="C222" s="69"/>
      <c r="D222" s="69"/>
      <c r="E222" s="70"/>
      <c r="F222" s="71"/>
      <c r="G222" s="69"/>
    </row>
    <row r="223" spans="1:7" ht="15" x14ac:dyDescent="0.25">
      <c r="A223" s="69"/>
      <c r="B223" s="69"/>
      <c r="C223" s="69"/>
      <c r="D223" s="69"/>
      <c r="E223" s="70"/>
      <c r="F223" s="71"/>
      <c r="G223" s="69"/>
    </row>
    <row r="224" spans="1:7" ht="15" x14ac:dyDescent="0.25">
      <c r="A224" s="69"/>
      <c r="B224" s="69"/>
      <c r="C224" s="69"/>
      <c r="D224" s="69"/>
      <c r="E224" s="70"/>
      <c r="F224" s="71"/>
      <c r="G224" s="69"/>
    </row>
    <row r="225" spans="1:7" ht="15" x14ac:dyDescent="0.25">
      <c r="A225" s="69"/>
      <c r="B225" s="69"/>
      <c r="C225" s="69"/>
      <c r="D225" s="69"/>
      <c r="E225" s="70"/>
      <c r="F225" s="71"/>
      <c r="G225" s="69"/>
    </row>
    <row r="226" spans="1:7" ht="15" x14ac:dyDescent="0.25">
      <c r="A226" s="69"/>
      <c r="B226" s="69"/>
      <c r="C226" s="69"/>
      <c r="D226" s="69"/>
      <c r="E226" s="70"/>
      <c r="F226" s="71"/>
      <c r="G226" s="69"/>
    </row>
    <row r="227" spans="1:7" ht="15" x14ac:dyDescent="0.25">
      <c r="A227" s="69"/>
      <c r="B227" s="69"/>
      <c r="C227" s="69"/>
      <c r="D227" s="69"/>
      <c r="E227" s="70"/>
      <c r="F227" s="71"/>
      <c r="G227" s="69"/>
    </row>
    <row r="228" spans="1:7" ht="15" x14ac:dyDescent="0.25">
      <c r="A228" s="69"/>
      <c r="B228" s="69"/>
      <c r="C228" s="69"/>
      <c r="D228" s="69"/>
      <c r="E228" s="70"/>
      <c r="F228" s="71"/>
      <c r="G228" s="69"/>
    </row>
    <row r="229" spans="1:7" ht="15" x14ac:dyDescent="0.25">
      <c r="A229" s="69"/>
      <c r="B229" s="69"/>
      <c r="C229" s="69"/>
      <c r="D229" s="69"/>
      <c r="E229" s="70"/>
      <c r="F229" s="71"/>
      <c r="G229" s="69"/>
    </row>
    <row r="230" spans="1:7" ht="15" x14ac:dyDescent="0.25">
      <c r="A230" s="69"/>
      <c r="B230" s="69"/>
      <c r="C230" s="69"/>
      <c r="D230" s="69"/>
      <c r="E230" s="70"/>
      <c r="F230" s="71"/>
      <c r="G230" s="69"/>
    </row>
    <row r="231" spans="1:7" ht="15" x14ac:dyDescent="0.25">
      <c r="A231" s="69"/>
      <c r="B231" s="69"/>
      <c r="C231" s="69"/>
      <c r="D231" s="69"/>
      <c r="E231" s="70"/>
      <c r="F231" s="71"/>
      <c r="G231" s="69"/>
    </row>
    <row r="232" spans="1:7" ht="15" x14ac:dyDescent="0.25">
      <c r="A232" s="69"/>
      <c r="B232" s="69"/>
      <c r="C232" s="69"/>
      <c r="D232" s="69"/>
      <c r="E232" s="70"/>
      <c r="F232" s="71"/>
      <c r="G232" s="69"/>
    </row>
    <row r="233" spans="1:7" ht="15" x14ac:dyDescent="0.25">
      <c r="A233" s="69"/>
      <c r="B233" s="69"/>
      <c r="C233" s="69"/>
      <c r="D233" s="69"/>
      <c r="E233" s="70"/>
      <c r="F233" s="71"/>
      <c r="G233" s="69"/>
    </row>
    <row r="234" spans="1:7" ht="15" x14ac:dyDescent="0.25">
      <c r="A234" s="69"/>
      <c r="B234" s="69"/>
      <c r="C234" s="69"/>
      <c r="D234" s="69"/>
      <c r="E234" s="70"/>
      <c r="F234" s="71"/>
      <c r="G234" s="69"/>
    </row>
    <row r="235" spans="1:7" ht="15" x14ac:dyDescent="0.25">
      <c r="A235" s="69"/>
      <c r="B235" s="69"/>
      <c r="C235" s="69"/>
      <c r="D235" s="69"/>
      <c r="E235" s="70"/>
      <c r="F235" s="71"/>
      <c r="G235" s="69"/>
    </row>
    <row r="236" spans="1:7" ht="15" x14ac:dyDescent="0.25">
      <c r="A236" s="69"/>
      <c r="B236" s="69"/>
      <c r="C236" s="69"/>
      <c r="D236" s="69"/>
      <c r="E236" s="70"/>
      <c r="F236" s="71"/>
      <c r="G236" s="69"/>
    </row>
    <row r="237" spans="1:7" ht="15" x14ac:dyDescent="0.25">
      <c r="A237" s="69"/>
      <c r="B237" s="69"/>
      <c r="C237" s="69"/>
      <c r="D237" s="69"/>
      <c r="E237" s="70"/>
      <c r="F237" s="71"/>
      <c r="G237" s="69"/>
    </row>
    <row r="238" spans="1:7" ht="15" x14ac:dyDescent="0.25">
      <c r="A238" s="69"/>
      <c r="B238" s="69"/>
      <c r="C238" s="69"/>
      <c r="D238" s="69"/>
      <c r="E238" s="70"/>
      <c r="F238" s="71"/>
      <c r="G238" s="69"/>
    </row>
    <row r="239" spans="1:7" ht="15" x14ac:dyDescent="0.25">
      <c r="A239" s="69"/>
      <c r="B239" s="69"/>
      <c r="C239" s="69"/>
      <c r="D239" s="69"/>
      <c r="E239" s="70"/>
      <c r="F239" s="71"/>
      <c r="G239" s="69"/>
    </row>
    <row r="240" spans="1:7" ht="15" x14ac:dyDescent="0.25">
      <c r="A240" s="69"/>
      <c r="B240" s="69"/>
      <c r="C240" s="69"/>
      <c r="D240" s="69"/>
      <c r="E240" s="70"/>
      <c r="F240" s="71"/>
      <c r="G240" s="69"/>
    </row>
    <row r="241" spans="1:7" ht="15" x14ac:dyDescent="0.25">
      <c r="A241" s="69"/>
      <c r="B241" s="69"/>
      <c r="C241" s="69"/>
      <c r="D241" s="69"/>
      <c r="E241" s="70"/>
      <c r="F241" s="71"/>
      <c r="G241" s="69"/>
    </row>
    <row r="242" spans="1:7" ht="15" x14ac:dyDescent="0.25">
      <c r="A242" s="69"/>
      <c r="B242" s="69"/>
      <c r="C242" s="69"/>
      <c r="D242" s="69"/>
      <c r="E242" s="70"/>
      <c r="F242" s="71"/>
      <c r="G242" s="69"/>
    </row>
    <row r="243" spans="1:7" ht="15" x14ac:dyDescent="0.25">
      <c r="A243" s="69"/>
      <c r="B243" s="69"/>
      <c r="C243" s="69"/>
      <c r="D243" s="69"/>
      <c r="E243" s="70"/>
      <c r="F243" s="71"/>
      <c r="G243" s="69"/>
    </row>
    <row r="244" spans="1:7" ht="15" x14ac:dyDescent="0.25">
      <c r="A244" s="69"/>
      <c r="B244" s="69"/>
      <c r="C244" s="69"/>
      <c r="D244" s="69"/>
      <c r="E244" s="70"/>
      <c r="F244" s="71"/>
      <c r="G244" s="69"/>
    </row>
    <row r="245" spans="1:7" ht="15" x14ac:dyDescent="0.25">
      <c r="A245" s="69"/>
      <c r="B245" s="69"/>
      <c r="C245" s="69"/>
      <c r="D245" s="69"/>
      <c r="E245" s="70"/>
      <c r="F245" s="71"/>
      <c r="G245" s="69"/>
    </row>
    <row r="246" spans="1:7" ht="15" x14ac:dyDescent="0.25">
      <c r="A246" s="69"/>
      <c r="B246" s="69"/>
      <c r="C246" s="69"/>
      <c r="D246" s="69"/>
      <c r="E246" s="70"/>
      <c r="F246" s="71"/>
      <c r="G246" s="69"/>
    </row>
    <row r="247" spans="1:7" ht="15" x14ac:dyDescent="0.25">
      <c r="A247" s="69"/>
      <c r="B247" s="69"/>
      <c r="C247" s="69"/>
      <c r="D247" s="69"/>
      <c r="E247" s="70"/>
      <c r="F247" s="71"/>
      <c r="G247" s="69"/>
    </row>
    <row r="248" spans="1:7" ht="15" x14ac:dyDescent="0.25">
      <c r="A248" s="69"/>
      <c r="B248" s="69"/>
      <c r="C248" s="69"/>
      <c r="D248" s="69"/>
      <c r="E248" s="70"/>
      <c r="F248" s="71"/>
      <c r="G248" s="69"/>
    </row>
    <row r="249" spans="1:7" ht="15" x14ac:dyDescent="0.25">
      <c r="A249" s="69"/>
      <c r="B249" s="69"/>
      <c r="C249" s="69"/>
      <c r="D249" s="69"/>
      <c r="E249" s="70"/>
      <c r="F249" s="71"/>
      <c r="G249" s="69"/>
    </row>
    <row r="250" spans="1:7" ht="15" x14ac:dyDescent="0.25">
      <c r="A250" s="69"/>
      <c r="B250" s="69"/>
      <c r="C250" s="69"/>
      <c r="D250" s="69"/>
      <c r="E250" s="70"/>
      <c r="F250" s="71"/>
      <c r="G250" s="69"/>
    </row>
    <row r="251" spans="1:7" ht="15" x14ac:dyDescent="0.25">
      <c r="A251" s="69"/>
      <c r="B251" s="69"/>
      <c r="C251" s="69"/>
      <c r="D251" s="69"/>
      <c r="E251" s="70"/>
      <c r="F251" s="71"/>
      <c r="G251" s="69"/>
    </row>
    <row r="252" spans="1:7" ht="15" x14ac:dyDescent="0.25">
      <c r="A252" s="69"/>
      <c r="B252" s="69"/>
      <c r="C252" s="69"/>
      <c r="D252" s="69"/>
      <c r="E252" s="70"/>
      <c r="F252" s="71"/>
      <c r="G252" s="69"/>
    </row>
    <row r="253" spans="1:7" ht="15" x14ac:dyDescent="0.25">
      <c r="A253" s="69"/>
      <c r="B253" s="69"/>
      <c r="C253" s="69"/>
      <c r="D253" s="69"/>
      <c r="E253" s="70"/>
      <c r="F253" s="71"/>
      <c r="G253" s="69"/>
    </row>
    <row r="254" spans="1:7" ht="15" x14ac:dyDescent="0.25">
      <c r="A254" s="69"/>
      <c r="B254" s="69"/>
      <c r="C254" s="69"/>
      <c r="D254" s="69"/>
      <c r="E254" s="70"/>
      <c r="F254" s="71"/>
      <c r="G254" s="69"/>
    </row>
    <row r="255" spans="1:7" ht="15" x14ac:dyDescent="0.25">
      <c r="A255" s="69"/>
      <c r="B255" s="69"/>
      <c r="C255" s="69"/>
      <c r="D255" s="69"/>
      <c r="E255" s="70"/>
      <c r="F255" s="71"/>
      <c r="G255" s="69"/>
    </row>
    <row r="256" spans="1:7" ht="15" x14ac:dyDescent="0.25">
      <c r="A256" s="69"/>
      <c r="B256" s="69"/>
      <c r="C256" s="69"/>
      <c r="D256" s="69"/>
      <c r="E256" s="70"/>
      <c r="F256" s="71"/>
      <c r="G256" s="69"/>
    </row>
    <row r="257" spans="1:7" ht="15" x14ac:dyDescent="0.25">
      <c r="A257" s="69"/>
      <c r="B257" s="69"/>
      <c r="C257" s="69"/>
      <c r="D257" s="69"/>
      <c r="E257" s="70"/>
      <c r="F257" s="71"/>
      <c r="G257" s="69"/>
    </row>
    <row r="258" spans="1:7" ht="15" x14ac:dyDescent="0.25">
      <c r="A258" s="69"/>
      <c r="B258" s="69"/>
      <c r="C258" s="69"/>
      <c r="D258" s="69"/>
      <c r="E258" s="70"/>
      <c r="F258" s="71"/>
      <c r="G258" s="69"/>
    </row>
    <row r="259" spans="1:7" ht="15" x14ac:dyDescent="0.25">
      <c r="A259" s="69"/>
      <c r="B259" s="69"/>
      <c r="C259" s="69"/>
      <c r="D259" s="69"/>
      <c r="E259" s="70"/>
      <c r="F259" s="71"/>
      <c r="G259" s="69"/>
    </row>
    <row r="260" spans="1:7" ht="15" x14ac:dyDescent="0.25">
      <c r="A260" s="69"/>
      <c r="B260" s="69"/>
      <c r="C260" s="69"/>
      <c r="D260" s="69"/>
      <c r="E260" s="70"/>
      <c r="F260" s="71"/>
      <c r="G260" s="69"/>
    </row>
    <row r="261" spans="1:7" ht="15" x14ac:dyDescent="0.25">
      <c r="A261" s="69"/>
      <c r="B261" s="69"/>
      <c r="C261" s="69"/>
      <c r="D261" s="69"/>
      <c r="E261" s="70"/>
      <c r="F261" s="71"/>
      <c r="G261" s="69"/>
    </row>
    <row r="262" spans="1:7" ht="15" x14ac:dyDescent="0.25">
      <c r="A262" s="69"/>
      <c r="B262" s="69"/>
      <c r="C262" s="69"/>
      <c r="D262" s="69"/>
      <c r="E262" s="70"/>
      <c r="F262" s="71"/>
      <c r="G262" s="69"/>
    </row>
    <row r="263" spans="1:7" ht="15" x14ac:dyDescent="0.25">
      <c r="A263" s="69"/>
      <c r="B263" s="69"/>
      <c r="C263" s="69"/>
      <c r="D263" s="69"/>
      <c r="E263" s="70"/>
      <c r="F263" s="71"/>
      <c r="G263" s="69"/>
    </row>
    <row r="264" spans="1:7" ht="15" x14ac:dyDescent="0.25">
      <c r="A264" s="69"/>
      <c r="B264" s="69"/>
      <c r="C264" s="69"/>
      <c r="D264" s="69"/>
      <c r="E264" s="70"/>
      <c r="F264" s="71"/>
      <c r="G264" s="69"/>
    </row>
    <row r="265" spans="1:7" ht="15" x14ac:dyDescent="0.25">
      <c r="A265" s="69"/>
      <c r="B265" s="69"/>
      <c r="C265" s="69"/>
      <c r="D265" s="69"/>
      <c r="E265" s="70"/>
      <c r="F265" s="71"/>
      <c r="G265" s="69"/>
    </row>
    <row r="266" spans="1:7" ht="15" x14ac:dyDescent="0.25">
      <c r="A266" s="69"/>
      <c r="B266" s="69"/>
      <c r="C266" s="69"/>
      <c r="D266" s="69"/>
      <c r="E266" s="70"/>
      <c r="F266" s="71"/>
      <c r="G266" s="69"/>
    </row>
    <row r="267" spans="1:7" ht="15" x14ac:dyDescent="0.25">
      <c r="A267" s="69"/>
      <c r="B267" s="69"/>
      <c r="C267" s="69"/>
      <c r="D267" s="69"/>
      <c r="E267" s="70"/>
      <c r="F267" s="71"/>
      <c r="G267" s="69"/>
    </row>
    <row r="268" spans="1:7" ht="15" x14ac:dyDescent="0.25">
      <c r="A268" s="69"/>
      <c r="B268" s="69"/>
      <c r="C268" s="69"/>
      <c r="D268" s="69"/>
      <c r="E268" s="70"/>
      <c r="F268" s="71"/>
      <c r="G268" s="69"/>
    </row>
    <row r="269" spans="1:7" ht="15" x14ac:dyDescent="0.25">
      <c r="A269" s="69"/>
      <c r="B269" s="69"/>
      <c r="C269" s="69"/>
      <c r="D269" s="69"/>
      <c r="E269" s="70"/>
      <c r="F269" s="71"/>
      <c r="G269" s="69"/>
    </row>
    <row r="270" spans="1:7" ht="15" x14ac:dyDescent="0.25">
      <c r="A270" s="69"/>
      <c r="B270" s="69"/>
      <c r="C270" s="69"/>
      <c r="D270" s="69"/>
      <c r="E270" s="70"/>
      <c r="F270" s="71"/>
      <c r="G270" s="69"/>
    </row>
    <row r="271" spans="1:7" ht="15" x14ac:dyDescent="0.25">
      <c r="A271" s="69"/>
      <c r="B271" s="69"/>
      <c r="C271" s="69"/>
      <c r="D271" s="69"/>
      <c r="E271" s="70"/>
      <c r="F271" s="71"/>
      <c r="G271" s="69"/>
    </row>
    <row r="272" spans="1:7" ht="15" x14ac:dyDescent="0.25">
      <c r="A272" s="69"/>
      <c r="B272" s="69"/>
      <c r="C272" s="69"/>
      <c r="D272" s="69"/>
      <c r="E272" s="70"/>
      <c r="F272" s="71"/>
      <c r="G272" s="69"/>
    </row>
    <row r="273" spans="1:7" ht="15" x14ac:dyDescent="0.25">
      <c r="A273" s="69"/>
      <c r="B273" s="69"/>
      <c r="C273" s="69"/>
      <c r="D273" s="69"/>
      <c r="E273" s="70"/>
      <c r="F273" s="71"/>
      <c r="G273" s="69"/>
    </row>
    <row r="274" spans="1:7" ht="15" x14ac:dyDescent="0.25">
      <c r="A274" s="69"/>
      <c r="B274" s="69"/>
      <c r="C274" s="69"/>
      <c r="D274" s="69"/>
      <c r="E274" s="70"/>
      <c r="F274" s="71"/>
      <c r="G274" s="69"/>
    </row>
    <row r="275" spans="1:7" ht="15" x14ac:dyDescent="0.25">
      <c r="A275" s="69"/>
      <c r="B275" s="69"/>
      <c r="C275" s="69"/>
      <c r="D275" s="69"/>
      <c r="E275" s="70"/>
      <c r="F275" s="71"/>
      <c r="G275" s="69"/>
    </row>
    <row r="276" spans="1:7" ht="15" x14ac:dyDescent="0.25">
      <c r="A276" s="69"/>
      <c r="B276" s="69"/>
      <c r="C276" s="69"/>
      <c r="D276" s="69"/>
      <c r="E276" s="70"/>
      <c r="F276" s="71"/>
      <c r="G276" s="69"/>
    </row>
    <row r="277" spans="1:7" ht="15" x14ac:dyDescent="0.25">
      <c r="A277" s="69"/>
      <c r="B277" s="69"/>
      <c r="C277" s="69"/>
      <c r="D277" s="69"/>
      <c r="E277" s="70"/>
      <c r="F277" s="71"/>
      <c r="G277" s="69"/>
    </row>
    <row r="278" spans="1:7" ht="15" x14ac:dyDescent="0.25">
      <c r="A278" s="69"/>
      <c r="B278" s="69"/>
      <c r="C278" s="69"/>
      <c r="D278" s="69"/>
      <c r="E278" s="70"/>
      <c r="F278" s="71"/>
      <c r="G278" s="69"/>
    </row>
    <row r="279" spans="1:7" ht="15" x14ac:dyDescent="0.25">
      <c r="A279" s="69"/>
      <c r="B279" s="69"/>
      <c r="C279" s="69"/>
      <c r="D279" s="69"/>
      <c r="E279" s="70"/>
      <c r="F279" s="71"/>
      <c r="G279" s="69"/>
    </row>
    <row r="280" spans="1:7" ht="15" x14ac:dyDescent="0.25">
      <c r="A280" s="69"/>
      <c r="B280" s="69"/>
      <c r="C280" s="69"/>
      <c r="D280" s="69"/>
      <c r="E280" s="70"/>
      <c r="F280" s="71"/>
      <c r="G280" s="69"/>
    </row>
    <row r="281" spans="1:7" ht="15" x14ac:dyDescent="0.25">
      <c r="A281" s="69"/>
      <c r="B281" s="69"/>
      <c r="C281" s="69"/>
      <c r="D281" s="69"/>
      <c r="E281" s="70"/>
      <c r="F281" s="71"/>
      <c r="G281" s="69"/>
    </row>
    <row r="282" spans="1:7" ht="15" x14ac:dyDescent="0.25">
      <c r="A282" s="69"/>
      <c r="B282" s="69"/>
      <c r="C282" s="69"/>
      <c r="D282" s="69"/>
      <c r="E282" s="70"/>
      <c r="F282" s="71"/>
      <c r="G282" s="69"/>
    </row>
    <row r="283" spans="1:7" ht="15" x14ac:dyDescent="0.25">
      <c r="A283" s="69"/>
      <c r="B283" s="69"/>
      <c r="C283" s="69"/>
      <c r="D283" s="69"/>
      <c r="E283" s="70"/>
      <c r="F283" s="71"/>
      <c r="G283" s="69"/>
    </row>
    <row r="284" spans="1:7" ht="15" x14ac:dyDescent="0.25">
      <c r="A284" s="69"/>
      <c r="B284" s="69"/>
      <c r="C284" s="69"/>
      <c r="D284" s="69"/>
      <c r="E284" s="70"/>
      <c r="F284" s="71"/>
      <c r="G284" s="69"/>
    </row>
    <row r="285" spans="1:7" ht="15" x14ac:dyDescent="0.25">
      <c r="A285" s="69"/>
      <c r="B285" s="69"/>
      <c r="C285" s="69"/>
      <c r="D285" s="69"/>
      <c r="E285" s="70"/>
      <c r="F285" s="71"/>
      <c r="G285" s="69"/>
    </row>
    <row r="286" spans="1:7" ht="15" x14ac:dyDescent="0.25">
      <c r="A286" s="69"/>
      <c r="B286" s="69"/>
      <c r="C286" s="69"/>
      <c r="D286" s="69"/>
      <c r="E286" s="70"/>
      <c r="F286" s="71"/>
      <c r="G286" s="69"/>
    </row>
    <row r="287" spans="1:7" ht="15" x14ac:dyDescent="0.25">
      <c r="A287" s="69"/>
      <c r="B287" s="69"/>
      <c r="C287" s="69"/>
      <c r="D287" s="69"/>
      <c r="E287" s="70"/>
      <c r="F287" s="71"/>
      <c r="G287" s="69"/>
    </row>
    <row r="288" spans="1:7" ht="15" x14ac:dyDescent="0.25">
      <c r="A288" s="69"/>
      <c r="B288" s="69"/>
      <c r="C288" s="69"/>
      <c r="D288" s="69"/>
      <c r="E288" s="70"/>
      <c r="F288" s="71"/>
      <c r="G288" s="69"/>
    </row>
    <row r="289" spans="1:7" ht="15" x14ac:dyDescent="0.25">
      <c r="A289" s="69"/>
      <c r="B289" s="69"/>
      <c r="C289" s="69"/>
      <c r="D289" s="69"/>
      <c r="E289" s="70"/>
      <c r="F289" s="71"/>
      <c r="G289" s="69"/>
    </row>
    <row r="290" spans="1:7" ht="15" x14ac:dyDescent="0.25">
      <c r="A290" s="69"/>
      <c r="B290" s="69"/>
      <c r="C290" s="69"/>
      <c r="D290" s="69"/>
      <c r="E290" s="70"/>
      <c r="F290" s="71"/>
      <c r="G290" s="69"/>
    </row>
    <row r="291" spans="1:7" ht="15" x14ac:dyDescent="0.25">
      <c r="A291" s="69"/>
      <c r="B291" s="69"/>
      <c r="C291" s="69"/>
      <c r="D291" s="69"/>
      <c r="E291" s="70"/>
      <c r="F291" s="71"/>
      <c r="G291" s="69"/>
    </row>
    <row r="292" spans="1:7" ht="15" x14ac:dyDescent="0.25">
      <c r="A292" s="69"/>
      <c r="B292" s="69"/>
      <c r="C292" s="69"/>
      <c r="D292" s="69"/>
      <c r="E292" s="70"/>
      <c r="F292" s="71"/>
      <c r="G292" s="69"/>
    </row>
    <row r="293" spans="1:7" ht="15" x14ac:dyDescent="0.25">
      <c r="A293" s="69"/>
      <c r="B293" s="69"/>
      <c r="C293" s="69"/>
      <c r="D293" s="69"/>
      <c r="E293" s="70"/>
      <c r="F293" s="71"/>
      <c r="G293" s="69"/>
    </row>
    <row r="294" spans="1:7" ht="15" x14ac:dyDescent="0.25">
      <c r="A294" s="69"/>
      <c r="B294" s="69"/>
      <c r="C294" s="69"/>
      <c r="D294" s="69"/>
      <c r="E294" s="70"/>
      <c r="F294" s="71"/>
      <c r="G294" s="69"/>
    </row>
    <row r="295" spans="1:7" ht="15" x14ac:dyDescent="0.25">
      <c r="A295" s="69"/>
      <c r="B295" s="69"/>
      <c r="C295" s="69"/>
      <c r="D295" s="69"/>
      <c r="E295" s="70"/>
      <c r="F295" s="71"/>
      <c r="G295" s="69"/>
    </row>
    <row r="296" spans="1:7" ht="15" x14ac:dyDescent="0.25">
      <c r="A296" s="69"/>
      <c r="B296" s="69"/>
      <c r="C296" s="69"/>
      <c r="D296" s="69"/>
      <c r="E296" s="70"/>
      <c r="F296" s="71"/>
      <c r="G296" s="69"/>
    </row>
    <row r="297" spans="1:7" ht="15" x14ac:dyDescent="0.25">
      <c r="A297" s="69"/>
      <c r="B297" s="69"/>
      <c r="C297" s="69"/>
      <c r="D297" s="69"/>
      <c r="E297" s="70"/>
      <c r="F297" s="71"/>
      <c r="G297" s="69"/>
    </row>
    <row r="298" spans="1:7" ht="15" x14ac:dyDescent="0.25">
      <c r="A298" s="69"/>
      <c r="B298" s="69"/>
      <c r="C298" s="69"/>
      <c r="D298" s="69"/>
      <c r="E298" s="70"/>
      <c r="F298" s="71"/>
      <c r="G298" s="69"/>
    </row>
    <row r="299" spans="1:7" ht="15" x14ac:dyDescent="0.25">
      <c r="A299" s="69"/>
      <c r="B299" s="69"/>
      <c r="C299" s="69"/>
      <c r="D299" s="69"/>
      <c r="E299" s="70"/>
      <c r="F299" s="71"/>
      <c r="G299" s="69"/>
    </row>
    <row r="300" spans="1:7" ht="15" x14ac:dyDescent="0.25">
      <c r="A300" s="69"/>
      <c r="B300" s="69"/>
      <c r="C300" s="69"/>
      <c r="D300" s="69"/>
      <c r="E300" s="70"/>
      <c r="F300" s="71"/>
      <c r="G300" s="69"/>
    </row>
    <row r="301" spans="1:7" ht="15" x14ac:dyDescent="0.25">
      <c r="A301" s="69"/>
      <c r="B301" s="69"/>
      <c r="C301" s="69"/>
      <c r="D301" s="69"/>
      <c r="E301" s="70"/>
      <c r="F301" s="71"/>
      <c r="G301" s="69"/>
    </row>
    <row r="302" spans="1:7" ht="15" x14ac:dyDescent="0.25">
      <c r="A302" s="69"/>
      <c r="B302" s="69"/>
      <c r="C302" s="69"/>
      <c r="D302" s="69"/>
      <c r="E302" s="70"/>
      <c r="F302" s="71"/>
      <c r="G302" s="69"/>
    </row>
    <row r="303" spans="1:7" ht="15" x14ac:dyDescent="0.25">
      <c r="A303" s="69"/>
      <c r="B303" s="69"/>
      <c r="C303" s="69"/>
      <c r="D303" s="69"/>
      <c r="E303" s="70"/>
      <c r="F303" s="71"/>
      <c r="G303" s="69"/>
    </row>
    <row r="304" spans="1:7" ht="15" x14ac:dyDescent="0.25">
      <c r="A304" s="69"/>
      <c r="B304" s="69"/>
      <c r="C304" s="69"/>
      <c r="D304" s="69"/>
      <c r="E304" s="70"/>
      <c r="F304" s="71"/>
      <c r="G304" s="69"/>
    </row>
    <row r="305" spans="1:7" ht="15" x14ac:dyDescent="0.25">
      <c r="A305" s="69"/>
      <c r="B305" s="69"/>
      <c r="C305" s="69"/>
      <c r="D305" s="69"/>
      <c r="E305" s="70"/>
      <c r="F305" s="71"/>
      <c r="G305" s="69"/>
    </row>
    <row r="306" spans="1:7" ht="15" x14ac:dyDescent="0.25">
      <c r="A306" s="69"/>
      <c r="B306" s="69"/>
      <c r="C306" s="69"/>
      <c r="D306" s="69"/>
      <c r="E306" s="70"/>
      <c r="F306" s="71"/>
      <c r="G306" s="69"/>
    </row>
    <row r="307" spans="1:7" ht="15" x14ac:dyDescent="0.25">
      <c r="A307" s="69"/>
      <c r="B307" s="69"/>
      <c r="C307" s="69"/>
      <c r="D307" s="69"/>
      <c r="E307" s="70"/>
      <c r="F307" s="71"/>
      <c r="G307" s="69"/>
    </row>
    <row r="308" spans="1:7" ht="15" x14ac:dyDescent="0.25">
      <c r="A308" s="69"/>
      <c r="B308" s="69"/>
      <c r="C308" s="69"/>
      <c r="D308" s="69"/>
      <c r="E308" s="70"/>
      <c r="F308" s="71"/>
      <c r="G308" s="69"/>
    </row>
    <row r="309" spans="1:7" ht="15" x14ac:dyDescent="0.25">
      <c r="A309" s="69"/>
      <c r="B309" s="69"/>
      <c r="C309" s="69"/>
      <c r="D309" s="69"/>
      <c r="E309" s="70"/>
      <c r="F309" s="71"/>
      <c r="G309" s="69"/>
    </row>
    <row r="310" spans="1:7" ht="15" x14ac:dyDescent="0.25">
      <c r="A310" s="69"/>
      <c r="B310" s="69"/>
      <c r="C310" s="69"/>
      <c r="D310" s="69"/>
      <c r="E310" s="70"/>
      <c r="F310" s="71"/>
      <c r="G310" s="69"/>
    </row>
    <row r="311" spans="1:7" ht="15" x14ac:dyDescent="0.25">
      <c r="A311" s="69"/>
      <c r="B311" s="69"/>
      <c r="C311" s="69"/>
      <c r="D311" s="69"/>
      <c r="E311" s="70"/>
      <c r="F311" s="71"/>
      <c r="G311" s="69"/>
    </row>
    <row r="312" spans="1:7" ht="15" x14ac:dyDescent="0.25">
      <c r="A312" s="69"/>
      <c r="B312" s="69"/>
      <c r="C312" s="69"/>
      <c r="D312" s="69"/>
      <c r="E312" s="70"/>
      <c r="F312" s="71"/>
      <c r="G312" s="69"/>
    </row>
    <row r="313" spans="1:7" ht="15" x14ac:dyDescent="0.25">
      <c r="A313" s="69"/>
      <c r="B313" s="69"/>
      <c r="C313" s="69"/>
      <c r="D313" s="69"/>
      <c r="E313" s="70"/>
      <c r="F313" s="71"/>
      <c r="G313" s="69"/>
    </row>
    <row r="314" spans="1:7" ht="15" x14ac:dyDescent="0.25">
      <c r="A314" s="69"/>
      <c r="B314" s="69"/>
      <c r="C314" s="69"/>
      <c r="D314" s="69"/>
      <c r="E314" s="70"/>
      <c r="F314" s="71"/>
      <c r="G314" s="69"/>
    </row>
    <row r="315" spans="1:7" ht="15" x14ac:dyDescent="0.25">
      <c r="A315" s="69"/>
      <c r="B315" s="69"/>
      <c r="C315" s="69"/>
      <c r="D315" s="69"/>
      <c r="E315" s="70"/>
      <c r="F315" s="71"/>
      <c r="G315" s="69"/>
    </row>
    <row r="316" spans="1:7" ht="15" x14ac:dyDescent="0.25">
      <c r="A316" s="69"/>
      <c r="B316" s="69"/>
      <c r="C316" s="69"/>
      <c r="D316" s="69"/>
      <c r="E316" s="70"/>
      <c r="F316" s="71"/>
      <c r="G316" s="69"/>
    </row>
    <row r="317" spans="1:7" ht="15" x14ac:dyDescent="0.25">
      <c r="A317" s="69"/>
      <c r="B317" s="69"/>
      <c r="C317" s="69"/>
      <c r="D317" s="69"/>
      <c r="E317" s="70"/>
      <c r="F317" s="71"/>
      <c r="G317" s="69"/>
    </row>
    <row r="318" spans="1:7" ht="15" x14ac:dyDescent="0.25">
      <c r="A318" s="69"/>
      <c r="B318" s="69"/>
      <c r="C318" s="69"/>
      <c r="D318" s="69"/>
      <c r="E318" s="70"/>
      <c r="F318" s="71"/>
      <c r="G318" s="69"/>
    </row>
    <row r="319" spans="1:7" ht="15" x14ac:dyDescent="0.25">
      <c r="A319" s="69"/>
      <c r="B319" s="69"/>
      <c r="C319" s="69"/>
      <c r="D319" s="69"/>
      <c r="E319" s="70"/>
      <c r="F319" s="71"/>
      <c r="G319" s="69"/>
    </row>
    <row r="320" spans="1:7" ht="15" x14ac:dyDescent="0.25">
      <c r="A320" s="69"/>
      <c r="B320" s="69"/>
      <c r="C320" s="69"/>
      <c r="D320" s="69"/>
      <c r="E320" s="70"/>
      <c r="F320" s="71"/>
      <c r="G320" s="69"/>
    </row>
    <row r="321" spans="1:7" ht="15" x14ac:dyDescent="0.25">
      <c r="A321" s="69"/>
      <c r="B321" s="69"/>
      <c r="C321" s="69"/>
      <c r="D321" s="69"/>
      <c r="E321" s="70"/>
      <c r="F321" s="71"/>
      <c r="G321" s="69"/>
    </row>
    <row r="322" spans="1:7" ht="15" x14ac:dyDescent="0.25">
      <c r="A322" s="69"/>
      <c r="B322" s="69"/>
      <c r="C322" s="69"/>
      <c r="D322" s="69"/>
      <c r="E322" s="70"/>
      <c r="F322" s="71"/>
      <c r="G322" s="69"/>
    </row>
    <row r="323" spans="1:7" ht="15" x14ac:dyDescent="0.25">
      <c r="A323" s="69"/>
      <c r="B323" s="69"/>
      <c r="C323" s="69"/>
      <c r="D323" s="69"/>
      <c r="E323" s="70"/>
      <c r="F323" s="71"/>
      <c r="G323" s="69"/>
    </row>
    <row r="324" spans="1:7" ht="15" x14ac:dyDescent="0.25">
      <c r="A324" s="69"/>
      <c r="B324" s="69"/>
      <c r="C324" s="69"/>
      <c r="D324" s="69"/>
      <c r="E324" s="70"/>
      <c r="F324" s="71"/>
      <c r="G324" s="69"/>
    </row>
    <row r="325" spans="1:7" ht="15" x14ac:dyDescent="0.25">
      <c r="A325" s="69"/>
      <c r="B325" s="69"/>
      <c r="C325" s="69"/>
      <c r="D325" s="69"/>
      <c r="E325" s="70"/>
      <c r="F325" s="71"/>
      <c r="G325" s="69"/>
    </row>
    <row r="326" spans="1:7" ht="15" x14ac:dyDescent="0.25">
      <c r="A326" s="69"/>
      <c r="B326" s="69"/>
      <c r="C326" s="69"/>
      <c r="D326" s="69"/>
      <c r="E326" s="70"/>
      <c r="F326" s="71"/>
      <c r="G326" s="69"/>
    </row>
    <row r="327" spans="1:7" ht="15" x14ac:dyDescent="0.25">
      <c r="A327" s="69"/>
      <c r="B327" s="69"/>
      <c r="C327" s="69"/>
      <c r="D327" s="69"/>
      <c r="E327" s="70"/>
      <c r="F327" s="71"/>
      <c r="G327" s="69"/>
    </row>
    <row r="328" spans="1:7" ht="15" x14ac:dyDescent="0.25">
      <c r="A328" s="69"/>
      <c r="B328" s="69"/>
      <c r="C328" s="69"/>
      <c r="D328" s="69"/>
      <c r="E328" s="70"/>
      <c r="F328" s="71"/>
      <c r="G328" s="69"/>
    </row>
    <row r="329" spans="1:7" ht="15" x14ac:dyDescent="0.25">
      <c r="A329" s="69"/>
      <c r="B329" s="69"/>
      <c r="C329" s="69"/>
      <c r="D329" s="69"/>
      <c r="E329" s="70"/>
      <c r="F329" s="71"/>
      <c r="G329" s="69"/>
    </row>
    <row r="330" spans="1:7" ht="15" x14ac:dyDescent="0.25">
      <c r="A330" s="69"/>
      <c r="B330" s="69"/>
      <c r="C330" s="69"/>
      <c r="D330" s="69"/>
      <c r="E330" s="70"/>
      <c r="F330" s="71"/>
      <c r="G330" s="69"/>
    </row>
    <row r="331" spans="1:7" ht="15" x14ac:dyDescent="0.25">
      <c r="A331" s="69"/>
      <c r="B331" s="69"/>
      <c r="C331" s="69"/>
      <c r="D331" s="69"/>
      <c r="E331" s="70"/>
      <c r="F331" s="71"/>
      <c r="G331" s="69"/>
    </row>
    <row r="332" spans="1:7" ht="15" x14ac:dyDescent="0.25">
      <c r="A332" s="69"/>
      <c r="B332" s="69"/>
      <c r="C332" s="69"/>
      <c r="D332" s="69"/>
      <c r="E332" s="70"/>
      <c r="F332" s="71"/>
      <c r="G332" s="69"/>
    </row>
    <row r="333" spans="1:7" ht="15" x14ac:dyDescent="0.25">
      <c r="A333" s="69"/>
      <c r="B333" s="69"/>
      <c r="C333" s="69"/>
      <c r="D333" s="69"/>
      <c r="E333" s="70"/>
      <c r="F333" s="71"/>
      <c r="G333" s="69"/>
    </row>
    <row r="334" spans="1:7" ht="15" x14ac:dyDescent="0.25">
      <c r="A334" s="69"/>
      <c r="B334" s="69"/>
      <c r="C334" s="69"/>
      <c r="D334" s="69"/>
      <c r="E334" s="70"/>
      <c r="F334" s="71"/>
      <c r="G334" s="69"/>
    </row>
    <row r="335" spans="1:7" ht="15" x14ac:dyDescent="0.25">
      <c r="A335" s="69"/>
      <c r="B335" s="69"/>
      <c r="C335" s="69"/>
      <c r="D335" s="69"/>
      <c r="E335" s="70"/>
      <c r="F335" s="71"/>
      <c r="G335" s="69"/>
    </row>
    <row r="336" spans="1:7" ht="15" x14ac:dyDescent="0.25">
      <c r="A336" s="69"/>
      <c r="B336" s="69"/>
      <c r="C336" s="69"/>
      <c r="D336" s="69"/>
      <c r="E336" s="70"/>
      <c r="F336" s="71"/>
      <c r="G336" s="69"/>
    </row>
    <row r="337" spans="1:7" ht="15" x14ac:dyDescent="0.25">
      <c r="A337" s="69"/>
      <c r="B337" s="69"/>
      <c r="C337" s="69"/>
      <c r="D337" s="69"/>
      <c r="E337" s="70"/>
      <c r="F337" s="71"/>
      <c r="G337" s="69"/>
    </row>
    <row r="338" spans="1:7" ht="15" x14ac:dyDescent="0.25">
      <c r="A338" s="69"/>
      <c r="B338" s="69"/>
      <c r="C338" s="69"/>
      <c r="D338" s="69"/>
      <c r="E338" s="70"/>
      <c r="F338" s="71"/>
      <c r="G338" s="69"/>
    </row>
    <row r="339" spans="1:7" ht="15" x14ac:dyDescent="0.25">
      <c r="A339" s="69"/>
      <c r="B339" s="69"/>
      <c r="C339" s="69"/>
      <c r="D339" s="69"/>
      <c r="E339" s="70"/>
      <c r="F339" s="71"/>
      <c r="G339" s="69"/>
    </row>
    <row r="340" spans="1:7" ht="15" x14ac:dyDescent="0.25">
      <c r="A340" s="69"/>
      <c r="B340" s="69"/>
      <c r="C340" s="69"/>
      <c r="D340" s="69"/>
      <c r="E340" s="70"/>
      <c r="F340" s="71"/>
      <c r="G340" s="69"/>
    </row>
    <row r="341" spans="1:7" ht="15" x14ac:dyDescent="0.25">
      <c r="A341" s="69"/>
      <c r="B341" s="69"/>
      <c r="C341" s="69"/>
      <c r="D341" s="69"/>
      <c r="E341" s="70"/>
      <c r="F341" s="71"/>
      <c r="G341" s="69"/>
    </row>
    <row r="342" spans="1:7" ht="15" x14ac:dyDescent="0.25">
      <c r="A342" s="69"/>
      <c r="B342" s="69"/>
      <c r="C342" s="69"/>
      <c r="D342" s="69"/>
      <c r="E342" s="70"/>
      <c r="F342" s="71"/>
      <c r="G342" s="69"/>
    </row>
    <row r="343" spans="1:7" ht="15" x14ac:dyDescent="0.25">
      <c r="A343" s="69"/>
      <c r="B343" s="69"/>
      <c r="C343" s="69"/>
      <c r="D343" s="69"/>
      <c r="E343" s="70"/>
      <c r="F343" s="71"/>
      <c r="G343" s="69"/>
    </row>
    <row r="344" spans="1:7" ht="15" x14ac:dyDescent="0.25">
      <c r="A344" s="69"/>
      <c r="B344" s="69"/>
      <c r="C344" s="69"/>
      <c r="D344" s="69"/>
      <c r="E344" s="70"/>
      <c r="F344" s="71"/>
      <c r="G344" s="69"/>
    </row>
    <row r="345" spans="1:7" ht="15" x14ac:dyDescent="0.25">
      <c r="A345" s="69"/>
      <c r="B345" s="69"/>
      <c r="C345" s="69"/>
      <c r="D345" s="69"/>
      <c r="E345" s="70"/>
      <c r="F345" s="71"/>
      <c r="G345" s="69"/>
    </row>
    <row r="346" spans="1:7" ht="15" x14ac:dyDescent="0.25">
      <c r="A346" s="69"/>
      <c r="B346" s="69"/>
      <c r="C346" s="69"/>
      <c r="D346" s="69"/>
      <c r="E346" s="70"/>
      <c r="F346" s="71"/>
      <c r="G346" s="69"/>
    </row>
    <row r="347" spans="1:7" ht="15" x14ac:dyDescent="0.25">
      <c r="A347" s="69"/>
      <c r="B347" s="69"/>
      <c r="C347" s="69"/>
      <c r="D347" s="69"/>
      <c r="E347" s="70"/>
      <c r="F347" s="71"/>
      <c r="G347" s="69"/>
    </row>
    <row r="348" spans="1:7" ht="15" x14ac:dyDescent="0.25">
      <c r="A348" s="69"/>
      <c r="B348" s="69"/>
      <c r="C348" s="69"/>
      <c r="D348" s="69"/>
      <c r="E348" s="70"/>
      <c r="F348" s="71"/>
      <c r="G348" s="69"/>
    </row>
    <row r="349" spans="1:7" ht="15" x14ac:dyDescent="0.25">
      <c r="A349" s="69"/>
      <c r="B349" s="69"/>
      <c r="C349" s="69"/>
      <c r="D349" s="69"/>
      <c r="E349" s="70"/>
      <c r="F349" s="71"/>
      <c r="G349" s="69"/>
    </row>
    <row r="350" spans="1:7" ht="15" x14ac:dyDescent="0.25">
      <c r="A350" s="69"/>
      <c r="B350" s="69"/>
      <c r="C350" s="69"/>
      <c r="D350" s="69"/>
      <c r="E350" s="70"/>
      <c r="F350" s="71"/>
      <c r="G350" s="69"/>
    </row>
    <row r="351" spans="1:7" ht="15" x14ac:dyDescent="0.25">
      <c r="A351" s="69"/>
      <c r="B351" s="69"/>
      <c r="C351" s="69"/>
      <c r="D351" s="69"/>
      <c r="E351" s="70"/>
      <c r="F351" s="71"/>
      <c r="G351" s="69"/>
    </row>
    <row r="352" spans="1:7" ht="15" x14ac:dyDescent="0.25">
      <c r="A352" s="69"/>
      <c r="B352" s="69"/>
      <c r="C352" s="69"/>
      <c r="D352" s="69"/>
      <c r="E352" s="70"/>
      <c r="F352" s="71"/>
      <c r="G352" s="69"/>
    </row>
    <row r="353" spans="1:7" ht="15" x14ac:dyDescent="0.25">
      <c r="A353" s="69"/>
      <c r="B353" s="69"/>
      <c r="C353" s="69"/>
      <c r="D353" s="69"/>
      <c r="E353" s="70"/>
      <c r="F353" s="71"/>
      <c r="G353" s="69"/>
    </row>
    <row r="354" spans="1:7" ht="15" x14ac:dyDescent="0.25">
      <c r="A354" s="69"/>
      <c r="B354" s="69"/>
      <c r="C354" s="69"/>
      <c r="D354" s="69"/>
      <c r="E354" s="70"/>
      <c r="F354" s="71"/>
      <c r="G354" s="69"/>
    </row>
    <row r="355" spans="1:7" ht="15" x14ac:dyDescent="0.25">
      <c r="A355" s="69"/>
      <c r="B355" s="69"/>
      <c r="C355" s="69"/>
      <c r="D355" s="69"/>
      <c r="E355" s="70"/>
      <c r="F355" s="71"/>
      <c r="G355" s="69"/>
    </row>
    <row r="356" spans="1:7" ht="15" x14ac:dyDescent="0.25">
      <c r="A356" s="69"/>
      <c r="B356" s="69"/>
      <c r="C356" s="69"/>
      <c r="D356" s="69"/>
      <c r="E356" s="70"/>
      <c r="F356" s="71"/>
      <c r="G356" s="69"/>
    </row>
    <row r="357" spans="1:7" ht="15" x14ac:dyDescent="0.25">
      <c r="A357" s="69"/>
      <c r="B357" s="69"/>
      <c r="C357" s="69"/>
      <c r="D357" s="69"/>
      <c r="E357" s="70"/>
      <c r="F357" s="71"/>
      <c r="G357" s="69"/>
    </row>
    <row r="358" spans="1:7" ht="15" x14ac:dyDescent="0.25">
      <c r="A358" s="69"/>
      <c r="B358" s="69"/>
      <c r="C358" s="69"/>
      <c r="D358" s="69"/>
      <c r="E358" s="70"/>
      <c r="F358" s="71"/>
      <c r="G358" s="69"/>
    </row>
    <row r="359" spans="1:7" ht="15" x14ac:dyDescent="0.25">
      <c r="A359" s="69"/>
      <c r="B359" s="69"/>
      <c r="C359" s="69"/>
      <c r="D359" s="69"/>
      <c r="E359" s="70"/>
      <c r="F359" s="71"/>
      <c r="G359" s="69"/>
    </row>
    <row r="360" spans="1:7" ht="15" x14ac:dyDescent="0.25">
      <c r="A360" s="69"/>
      <c r="B360" s="69"/>
      <c r="C360" s="69"/>
      <c r="D360" s="69"/>
      <c r="E360" s="70"/>
      <c r="F360" s="71"/>
      <c r="G360" s="69"/>
    </row>
    <row r="361" spans="1:7" ht="15" x14ac:dyDescent="0.25">
      <c r="A361" s="69"/>
      <c r="B361" s="69"/>
      <c r="C361" s="69"/>
      <c r="D361" s="69"/>
      <c r="E361" s="70"/>
      <c r="F361" s="71"/>
      <c r="G361" s="69"/>
    </row>
    <row r="362" spans="1:7" ht="15" x14ac:dyDescent="0.25">
      <c r="A362" s="69"/>
      <c r="B362" s="69"/>
      <c r="C362" s="69"/>
      <c r="D362" s="69"/>
      <c r="E362" s="70"/>
      <c r="F362" s="71"/>
      <c r="G362" s="69"/>
    </row>
    <row r="363" spans="1:7" ht="15" x14ac:dyDescent="0.25">
      <c r="A363" s="69"/>
      <c r="B363" s="69"/>
      <c r="C363" s="69"/>
      <c r="D363" s="69"/>
      <c r="E363" s="70"/>
      <c r="F363" s="71"/>
      <c r="G363" s="69"/>
    </row>
    <row r="364" spans="1:7" ht="15" x14ac:dyDescent="0.25">
      <c r="A364" s="69"/>
      <c r="B364" s="69"/>
      <c r="C364" s="69"/>
      <c r="D364" s="69"/>
      <c r="E364" s="70"/>
      <c r="F364" s="71"/>
      <c r="G364" s="69"/>
    </row>
    <row r="365" spans="1:7" ht="15" x14ac:dyDescent="0.25">
      <c r="A365" s="69"/>
      <c r="B365" s="69"/>
      <c r="C365" s="69"/>
      <c r="D365" s="69"/>
      <c r="E365" s="70"/>
      <c r="F365" s="71"/>
      <c r="G365" s="69"/>
    </row>
    <row r="366" spans="1:7" ht="15" x14ac:dyDescent="0.25">
      <c r="A366" s="69"/>
      <c r="B366" s="69"/>
      <c r="C366" s="69"/>
      <c r="D366" s="69"/>
      <c r="E366" s="70"/>
      <c r="F366" s="71"/>
      <c r="G366" s="69"/>
    </row>
    <row r="367" spans="1:7" ht="15" x14ac:dyDescent="0.25">
      <c r="A367" s="69"/>
      <c r="B367" s="69"/>
      <c r="C367" s="69"/>
      <c r="D367" s="69"/>
      <c r="E367" s="70"/>
      <c r="F367" s="71"/>
      <c r="G367" s="69"/>
    </row>
    <row r="368" spans="1:7" ht="15" x14ac:dyDescent="0.25">
      <c r="A368" s="69"/>
      <c r="B368" s="69"/>
      <c r="C368" s="69"/>
      <c r="D368" s="69"/>
      <c r="E368" s="70"/>
      <c r="F368" s="71"/>
      <c r="G368" s="69"/>
    </row>
    <row r="369" spans="1:7" ht="15" x14ac:dyDescent="0.25">
      <c r="A369" s="69"/>
      <c r="B369" s="69"/>
      <c r="C369" s="69"/>
      <c r="D369" s="69"/>
      <c r="E369" s="70"/>
      <c r="F369" s="71"/>
      <c r="G369" s="69"/>
    </row>
    <row r="370" spans="1:7" ht="15" x14ac:dyDescent="0.25">
      <c r="A370" s="69"/>
      <c r="B370" s="69"/>
      <c r="C370" s="69"/>
      <c r="D370" s="69"/>
      <c r="E370" s="70"/>
      <c r="F370" s="71"/>
      <c r="G370" s="69"/>
    </row>
    <row r="371" spans="1:7" ht="15" x14ac:dyDescent="0.25">
      <c r="A371" s="69"/>
      <c r="B371" s="69"/>
      <c r="C371" s="69"/>
      <c r="D371" s="69"/>
      <c r="E371" s="70"/>
      <c r="F371" s="71"/>
      <c r="G371" s="69"/>
    </row>
    <row r="372" spans="1:7" ht="15" x14ac:dyDescent="0.25">
      <c r="A372" s="69"/>
      <c r="B372" s="69"/>
      <c r="C372" s="69"/>
      <c r="D372" s="69"/>
      <c r="E372" s="70"/>
      <c r="F372" s="71"/>
      <c r="G372" s="69"/>
    </row>
    <row r="373" spans="1:7" ht="15" x14ac:dyDescent="0.25">
      <c r="A373" s="69"/>
      <c r="B373" s="69"/>
      <c r="C373" s="69"/>
      <c r="D373" s="69"/>
      <c r="E373" s="70"/>
      <c r="F373" s="71"/>
      <c r="G373" s="69"/>
    </row>
    <row r="374" spans="1:7" ht="15" x14ac:dyDescent="0.25">
      <c r="A374" s="69"/>
      <c r="B374" s="69"/>
      <c r="C374" s="69"/>
      <c r="D374" s="69"/>
      <c r="E374" s="70"/>
      <c r="F374" s="71"/>
      <c r="G374" s="69"/>
    </row>
    <row r="375" spans="1:7" ht="15" x14ac:dyDescent="0.25">
      <c r="A375" s="69"/>
      <c r="B375" s="69"/>
      <c r="C375" s="69"/>
      <c r="D375" s="69"/>
      <c r="E375" s="70"/>
      <c r="F375" s="71"/>
      <c r="G375" s="69"/>
    </row>
    <row r="376" spans="1:7" ht="15" x14ac:dyDescent="0.25">
      <c r="A376" s="69"/>
      <c r="B376" s="69"/>
      <c r="C376" s="69"/>
      <c r="D376" s="69"/>
      <c r="E376" s="70"/>
      <c r="F376" s="71"/>
      <c r="G376" s="69"/>
    </row>
    <row r="377" spans="1:7" ht="15" x14ac:dyDescent="0.25">
      <c r="A377" s="69"/>
      <c r="B377" s="69"/>
      <c r="C377" s="69"/>
      <c r="D377" s="69"/>
      <c r="E377" s="70"/>
      <c r="F377" s="71"/>
      <c r="G377" s="69"/>
    </row>
    <row r="378" spans="1:7" ht="15" x14ac:dyDescent="0.25">
      <c r="A378" s="69"/>
      <c r="B378" s="69"/>
      <c r="C378" s="69"/>
      <c r="D378" s="69"/>
      <c r="E378" s="70"/>
      <c r="F378" s="71"/>
      <c r="G378" s="69"/>
    </row>
    <row r="379" spans="1:7" ht="15" x14ac:dyDescent="0.25">
      <c r="A379" s="69"/>
      <c r="B379" s="69"/>
      <c r="C379" s="69"/>
      <c r="D379" s="69"/>
      <c r="E379" s="70"/>
      <c r="F379" s="71"/>
      <c r="G379" s="69"/>
    </row>
    <row r="380" spans="1:7" ht="15" x14ac:dyDescent="0.25">
      <c r="A380" s="69"/>
      <c r="B380" s="69"/>
      <c r="C380" s="69"/>
      <c r="D380" s="69"/>
      <c r="E380" s="70"/>
      <c r="F380" s="71"/>
      <c r="G380" s="69"/>
    </row>
    <row r="381" spans="1:7" ht="15" x14ac:dyDescent="0.25">
      <c r="A381" s="69"/>
      <c r="B381" s="69"/>
      <c r="C381" s="69"/>
      <c r="D381" s="69"/>
      <c r="E381" s="70"/>
      <c r="F381" s="71"/>
      <c r="G381" s="69"/>
    </row>
    <row r="382" spans="1:7" ht="15" x14ac:dyDescent="0.25">
      <c r="A382" s="69"/>
      <c r="B382" s="69"/>
      <c r="C382" s="69"/>
      <c r="D382" s="69"/>
      <c r="E382" s="70"/>
      <c r="F382" s="71"/>
      <c r="G382" s="69"/>
    </row>
    <row r="383" spans="1:7" ht="15" x14ac:dyDescent="0.25">
      <c r="A383" s="69"/>
      <c r="B383" s="69"/>
      <c r="C383" s="69"/>
      <c r="D383" s="69"/>
      <c r="E383" s="70"/>
      <c r="F383" s="71"/>
      <c r="G383" s="69"/>
    </row>
    <row r="384" spans="1:7" ht="15" x14ac:dyDescent="0.25">
      <c r="A384" s="69"/>
      <c r="B384" s="69"/>
      <c r="C384" s="69"/>
      <c r="D384" s="69"/>
      <c r="E384" s="70"/>
      <c r="F384" s="71"/>
      <c r="G384" s="69"/>
    </row>
    <row r="385" spans="1:7" ht="15" x14ac:dyDescent="0.25">
      <c r="A385" s="69"/>
      <c r="B385" s="69"/>
      <c r="C385" s="69"/>
      <c r="D385" s="69"/>
      <c r="E385" s="70"/>
      <c r="F385" s="71"/>
      <c r="G385" s="69"/>
    </row>
    <row r="386" spans="1:7" ht="15" x14ac:dyDescent="0.25">
      <c r="A386" s="69"/>
      <c r="B386" s="69"/>
      <c r="C386" s="69"/>
      <c r="D386" s="69"/>
      <c r="E386" s="70"/>
      <c r="F386" s="71"/>
      <c r="G386" s="69"/>
    </row>
    <row r="387" spans="1:7" ht="15" x14ac:dyDescent="0.25">
      <c r="A387" s="69"/>
      <c r="B387" s="69"/>
      <c r="C387" s="69"/>
      <c r="D387" s="69"/>
      <c r="E387" s="70"/>
      <c r="F387" s="71"/>
      <c r="G387" s="69"/>
    </row>
    <row r="388" spans="1:7" ht="15" x14ac:dyDescent="0.25">
      <c r="A388" s="69"/>
      <c r="B388" s="69"/>
      <c r="C388" s="69"/>
      <c r="D388" s="69"/>
      <c r="E388" s="70"/>
      <c r="F388" s="71"/>
      <c r="G388" s="69"/>
    </row>
    <row r="389" spans="1:7" ht="15" x14ac:dyDescent="0.25">
      <c r="A389" s="69"/>
      <c r="B389" s="69"/>
      <c r="C389" s="69"/>
      <c r="D389" s="69"/>
      <c r="E389" s="70"/>
      <c r="F389" s="71"/>
      <c r="G389" s="69"/>
    </row>
    <row r="390" spans="1:7" ht="15" x14ac:dyDescent="0.25">
      <c r="A390" s="69"/>
      <c r="B390" s="69"/>
      <c r="C390" s="69"/>
      <c r="D390" s="69"/>
      <c r="E390" s="70"/>
      <c r="F390" s="71"/>
      <c r="G390" s="69"/>
    </row>
    <row r="391" spans="1:7" ht="15" x14ac:dyDescent="0.25">
      <c r="A391" s="69"/>
      <c r="B391" s="69"/>
      <c r="C391" s="69"/>
      <c r="D391" s="69"/>
      <c r="E391" s="70"/>
      <c r="F391" s="71"/>
      <c r="G391" s="69"/>
    </row>
    <row r="392" spans="1:7" ht="15" x14ac:dyDescent="0.25">
      <c r="A392" s="69"/>
      <c r="B392" s="69"/>
      <c r="C392" s="69"/>
      <c r="D392" s="69"/>
      <c r="E392" s="70"/>
      <c r="F392" s="71"/>
      <c r="G392" s="69"/>
    </row>
    <row r="393" spans="1:7" ht="15" x14ac:dyDescent="0.25">
      <c r="A393" s="69"/>
      <c r="B393" s="69"/>
      <c r="C393" s="69"/>
      <c r="D393" s="69"/>
      <c r="E393" s="70"/>
      <c r="F393" s="71"/>
      <c r="G393" s="69"/>
    </row>
    <row r="394" spans="1:7" ht="15" x14ac:dyDescent="0.25">
      <c r="A394" s="69"/>
      <c r="B394" s="69"/>
      <c r="C394" s="69"/>
      <c r="D394" s="69"/>
      <c r="E394" s="70"/>
      <c r="F394" s="71"/>
      <c r="G394" s="69"/>
    </row>
    <row r="395" spans="1:7" ht="15" x14ac:dyDescent="0.25">
      <c r="A395" s="69"/>
      <c r="B395" s="69"/>
      <c r="C395" s="69"/>
      <c r="D395" s="69"/>
      <c r="E395" s="70"/>
      <c r="F395" s="71"/>
      <c r="G395" s="69"/>
    </row>
    <row r="396" spans="1:7" ht="15" x14ac:dyDescent="0.25">
      <c r="A396" s="69"/>
      <c r="B396" s="69"/>
      <c r="C396" s="69"/>
      <c r="D396" s="69"/>
      <c r="E396" s="70"/>
      <c r="F396" s="71"/>
      <c r="G396" s="69"/>
    </row>
    <row r="397" spans="1:7" ht="15" x14ac:dyDescent="0.25">
      <c r="A397" s="69"/>
      <c r="B397" s="69"/>
      <c r="C397" s="69"/>
      <c r="D397" s="69"/>
      <c r="E397" s="70"/>
      <c r="F397" s="71"/>
      <c r="G397" s="69"/>
    </row>
    <row r="398" spans="1:7" ht="15" x14ac:dyDescent="0.25">
      <c r="A398" s="69"/>
      <c r="B398" s="69"/>
      <c r="C398" s="69"/>
      <c r="D398" s="69"/>
      <c r="E398" s="70"/>
      <c r="F398" s="71"/>
      <c r="G398" s="69"/>
    </row>
    <row r="399" spans="1:7" ht="15" x14ac:dyDescent="0.25">
      <c r="A399" s="69"/>
      <c r="B399" s="69"/>
      <c r="C399" s="69"/>
      <c r="D399" s="69"/>
      <c r="E399" s="70"/>
      <c r="F399" s="71"/>
      <c r="G399" s="69"/>
    </row>
    <row r="400" spans="1:7" ht="15" x14ac:dyDescent="0.25">
      <c r="A400" s="69"/>
      <c r="B400" s="69"/>
      <c r="C400" s="69"/>
      <c r="D400" s="69"/>
      <c r="E400" s="70"/>
      <c r="F400" s="71"/>
      <c r="G400" s="69"/>
    </row>
    <row r="401" spans="1:7" ht="15" x14ac:dyDescent="0.25">
      <c r="A401" s="69"/>
      <c r="B401" s="69"/>
      <c r="C401" s="69"/>
      <c r="D401" s="69"/>
      <c r="E401" s="70"/>
      <c r="F401" s="71"/>
      <c r="G401" s="69"/>
    </row>
    <row r="402" spans="1:7" ht="15" x14ac:dyDescent="0.25">
      <c r="A402" s="69"/>
      <c r="B402" s="69"/>
      <c r="C402" s="69"/>
      <c r="D402" s="69"/>
      <c r="E402" s="70"/>
      <c r="F402" s="71"/>
      <c r="G402" s="69"/>
    </row>
    <row r="403" spans="1:7" ht="15" x14ac:dyDescent="0.25">
      <c r="A403" s="69"/>
      <c r="B403" s="69"/>
      <c r="C403" s="69"/>
      <c r="D403" s="69"/>
      <c r="E403" s="70"/>
      <c r="F403" s="71"/>
      <c r="G403" s="69"/>
    </row>
    <row r="404" spans="1:7" ht="15" x14ac:dyDescent="0.25">
      <c r="A404" s="69"/>
      <c r="B404" s="69"/>
      <c r="C404" s="69"/>
      <c r="D404" s="69"/>
      <c r="E404" s="70"/>
      <c r="F404" s="71"/>
      <c r="G404" s="69"/>
    </row>
    <row r="405" spans="1:7" ht="15" x14ac:dyDescent="0.25">
      <c r="A405" s="69"/>
      <c r="B405" s="69"/>
      <c r="C405" s="69"/>
      <c r="D405" s="69"/>
      <c r="E405" s="70"/>
      <c r="F405" s="71"/>
      <c r="G405" s="69"/>
    </row>
    <row r="406" spans="1:7" ht="15" x14ac:dyDescent="0.25">
      <c r="A406" s="69"/>
      <c r="B406" s="69"/>
      <c r="C406" s="69"/>
      <c r="D406" s="69"/>
      <c r="E406" s="70"/>
      <c r="F406" s="71"/>
      <c r="G406" s="69"/>
    </row>
    <row r="407" spans="1:7" ht="15" x14ac:dyDescent="0.25">
      <c r="A407" s="69"/>
      <c r="B407" s="69"/>
      <c r="C407" s="69"/>
      <c r="D407" s="69"/>
      <c r="E407" s="70"/>
      <c r="F407" s="71"/>
      <c r="G407" s="69"/>
    </row>
    <row r="408" spans="1:7" ht="15" x14ac:dyDescent="0.25">
      <c r="A408" s="69"/>
      <c r="B408" s="69"/>
      <c r="C408" s="69"/>
      <c r="D408" s="69"/>
      <c r="E408" s="70"/>
      <c r="F408" s="71"/>
      <c r="G408" s="69"/>
    </row>
    <row r="409" spans="1:7" ht="15" x14ac:dyDescent="0.25">
      <c r="A409" s="69"/>
      <c r="B409" s="69"/>
      <c r="C409" s="69"/>
      <c r="D409" s="69"/>
      <c r="E409" s="70"/>
      <c r="F409" s="71"/>
      <c r="G409" s="69"/>
    </row>
    <row r="410" spans="1:7" ht="15" x14ac:dyDescent="0.25">
      <c r="A410" s="69"/>
      <c r="B410" s="69"/>
      <c r="C410" s="69"/>
      <c r="D410" s="69"/>
      <c r="E410" s="70"/>
      <c r="F410" s="71"/>
      <c r="G410" s="69"/>
    </row>
    <row r="411" spans="1:7" ht="15" x14ac:dyDescent="0.25">
      <c r="A411" s="69"/>
      <c r="B411" s="69"/>
      <c r="C411" s="69"/>
      <c r="D411" s="69"/>
      <c r="E411" s="70"/>
      <c r="F411" s="71"/>
      <c r="G411" s="69"/>
    </row>
    <row r="412" spans="1:7" ht="15" x14ac:dyDescent="0.25">
      <c r="A412" s="69"/>
      <c r="B412" s="69"/>
      <c r="C412" s="69"/>
      <c r="D412" s="69"/>
      <c r="E412" s="70"/>
      <c r="F412" s="71"/>
      <c r="G412" s="69"/>
    </row>
    <row r="413" spans="1:7" ht="15" x14ac:dyDescent="0.25">
      <c r="A413" s="69"/>
      <c r="B413" s="69"/>
      <c r="C413" s="69"/>
      <c r="D413" s="69"/>
      <c r="E413" s="70"/>
      <c r="F413" s="71"/>
      <c r="G413" s="69"/>
    </row>
    <row r="414" spans="1:7" ht="15" x14ac:dyDescent="0.25">
      <c r="A414" s="69"/>
      <c r="B414" s="69"/>
      <c r="C414" s="69"/>
      <c r="D414" s="69"/>
      <c r="E414" s="70"/>
      <c r="F414" s="71"/>
      <c r="G414" s="69"/>
    </row>
    <row r="415" spans="1:7" ht="15" x14ac:dyDescent="0.25">
      <c r="A415" s="69"/>
      <c r="B415" s="69"/>
      <c r="C415" s="69"/>
      <c r="D415" s="69"/>
      <c r="E415" s="70"/>
      <c r="F415" s="71"/>
      <c r="G415" s="69"/>
    </row>
    <row r="416" spans="1:7" ht="15" x14ac:dyDescent="0.25">
      <c r="A416" s="69"/>
      <c r="B416" s="69"/>
      <c r="C416" s="69"/>
      <c r="D416" s="69"/>
      <c r="E416" s="70"/>
      <c r="F416" s="71"/>
      <c r="G416" s="69"/>
    </row>
    <row r="417" spans="1:7" ht="15" x14ac:dyDescent="0.25">
      <c r="A417" s="69"/>
      <c r="B417" s="69"/>
      <c r="C417" s="69"/>
      <c r="D417" s="69"/>
      <c r="E417" s="70"/>
      <c r="F417" s="71"/>
      <c r="G417" s="69"/>
    </row>
    <row r="418" spans="1:7" ht="15" x14ac:dyDescent="0.25">
      <c r="A418" s="69"/>
      <c r="B418" s="69"/>
      <c r="C418" s="69"/>
      <c r="D418" s="69"/>
      <c r="E418" s="70"/>
      <c r="F418" s="71"/>
      <c r="G418" s="69"/>
    </row>
    <row r="419" spans="1:7" ht="15" x14ac:dyDescent="0.25">
      <c r="A419" s="69"/>
      <c r="B419" s="69"/>
      <c r="C419" s="69"/>
      <c r="D419" s="69"/>
      <c r="E419" s="70"/>
      <c r="F419" s="71"/>
      <c r="G419" s="69"/>
    </row>
    <row r="420" spans="1:7" ht="15" x14ac:dyDescent="0.25">
      <c r="A420" s="69"/>
      <c r="B420" s="69"/>
      <c r="C420" s="69"/>
      <c r="D420" s="69"/>
      <c r="E420" s="70"/>
      <c r="F420" s="71"/>
      <c r="G420" s="69"/>
    </row>
    <row r="421" spans="1:7" ht="15" x14ac:dyDescent="0.25">
      <c r="A421" s="69"/>
      <c r="B421" s="69"/>
      <c r="C421" s="69"/>
      <c r="D421" s="69"/>
      <c r="E421" s="70"/>
      <c r="F421" s="71"/>
      <c r="G421" s="69"/>
    </row>
    <row r="422" spans="1:7" ht="15" x14ac:dyDescent="0.25">
      <c r="A422" s="69"/>
      <c r="B422" s="69"/>
      <c r="C422" s="69"/>
      <c r="D422" s="69"/>
      <c r="E422" s="70"/>
      <c r="F422" s="71"/>
      <c r="G422" s="69"/>
    </row>
    <row r="423" spans="1:7" ht="15" x14ac:dyDescent="0.25">
      <c r="A423" s="69"/>
      <c r="B423" s="69"/>
      <c r="C423" s="69"/>
      <c r="D423" s="69"/>
      <c r="E423" s="70"/>
      <c r="F423" s="71"/>
      <c r="G423" s="69"/>
    </row>
    <row r="424" spans="1:7" ht="15" x14ac:dyDescent="0.25">
      <c r="A424" s="69"/>
      <c r="B424" s="69"/>
      <c r="C424" s="69"/>
      <c r="D424" s="69"/>
      <c r="E424" s="70"/>
      <c r="F424" s="71"/>
      <c r="G424" s="69"/>
    </row>
    <row r="425" spans="1:7" ht="15" x14ac:dyDescent="0.25">
      <c r="A425" s="69"/>
      <c r="B425" s="69"/>
      <c r="C425" s="69"/>
      <c r="D425" s="69"/>
      <c r="E425" s="70"/>
      <c r="F425" s="71"/>
      <c r="G425" s="69"/>
    </row>
    <row r="426" spans="1:7" ht="15" x14ac:dyDescent="0.25">
      <c r="A426" s="69"/>
      <c r="B426" s="69"/>
      <c r="C426" s="69"/>
      <c r="D426" s="69"/>
      <c r="E426" s="70"/>
      <c r="F426" s="71"/>
      <c r="G426" s="69"/>
    </row>
    <row r="427" spans="1:7" ht="15" x14ac:dyDescent="0.25">
      <c r="A427" s="69"/>
      <c r="B427" s="69"/>
      <c r="C427" s="69"/>
      <c r="D427" s="69"/>
      <c r="E427" s="70"/>
      <c r="F427" s="71"/>
      <c r="G427" s="69"/>
    </row>
    <row r="428" spans="1:7" ht="15" x14ac:dyDescent="0.25">
      <c r="A428" s="69"/>
      <c r="B428" s="69"/>
      <c r="C428" s="69"/>
      <c r="D428" s="69"/>
      <c r="E428" s="70"/>
      <c r="F428" s="71"/>
      <c r="G428" s="69"/>
    </row>
    <row r="429" spans="1:7" ht="15" x14ac:dyDescent="0.25">
      <c r="A429" s="69"/>
      <c r="B429" s="69"/>
      <c r="C429" s="69"/>
      <c r="D429" s="69"/>
      <c r="E429" s="70"/>
      <c r="F429" s="71"/>
      <c r="G429" s="69"/>
    </row>
    <row r="430" spans="1:7" ht="15" x14ac:dyDescent="0.25">
      <c r="A430" s="69"/>
      <c r="B430" s="69"/>
      <c r="C430" s="69"/>
      <c r="D430" s="69"/>
      <c r="E430" s="70"/>
      <c r="F430" s="71"/>
      <c r="G430" s="69"/>
    </row>
    <row r="431" spans="1:7" ht="15" x14ac:dyDescent="0.25">
      <c r="A431" s="69"/>
      <c r="B431" s="69"/>
      <c r="C431" s="69"/>
      <c r="D431" s="69"/>
      <c r="E431" s="70"/>
      <c r="F431" s="71"/>
      <c r="G431" s="69"/>
    </row>
    <row r="432" spans="1:7" ht="15" x14ac:dyDescent="0.25">
      <c r="A432" s="69"/>
      <c r="B432" s="69"/>
      <c r="C432" s="69"/>
      <c r="D432" s="69"/>
      <c r="E432" s="70"/>
      <c r="F432" s="71"/>
      <c r="G432" s="69"/>
    </row>
    <row r="433" spans="1:7" ht="15" x14ac:dyDescent="0.25">
      <c r="A433" s="69"/>
      <c r="B433" s="69"/>
      <c r="C433" s="69"/>
      <c r="D433" s="69"/>
      <c r="E433" s="70"/>
      <c r="F433" s="71"/>
      <c r="G433" s="69"/>
    </row>
    <row r="434" spans="1:7" ht="15" x14ac:dyDescent="0.25">
      <c r="A434" s="69"/>
      <c r="B434" s="69"/>
      <c r="C434" s="69"/>
      <c r="D434" s="69"/>
      <c r="E434" s="70"/>
      <c r="F434" s="71"/>
      <c r="G434" s="69"/>
    </row>
    <row r="435" spans="1:7" ht="15" x14ac:dyDescent="0.25">
      <c r="A435" s="69"/>
      <c r="B435" s="69"/>
      <c r="C435" s="69"/>
      <c r="D435" s="69"/>
      <c r="E435" s="70"/>
      <c r="F435" s="71"/>
      <c r="G435" s="69"/>
    </row>
    <row r="436" spans="1:7" ht="15" x14ac:dyDescent="0.25">
      <c r="A436" s="69"/>
      <c r="B436" s="69"/>
      <c r="C436" s="69"/>
      <c r="D436" s="69"/>
      <c r="E436" s="70"/>
      <c r="F436" s="71"/>
      <c r="G436" s="69"/>
    </row>
    <row r="437" spans="1:7" ht="15" x14ac:dyDescent="0.25">
      <c r="A437" s="69"/>
      <c r="B437" s="69"/>
      <c r="C437" s="69"/>
      <c r="D437" s="69"/>
      <c r="E437" s="70"/>
      <c r="F437" s="71"/>
      <c r="G437" s="69"/>
    </row>
    <row r="438" spans="1:7" ht="15" x14ac:dyDescent="0.25">
      <c r="A438" s="69"/>
      <c r="B438" s="69"/>
      <c r="C438" s="69"/>
      <c r="D438" s="69"/>
      <c r="E438" s="70"/>
      <c r="F438" s="71"/>
      <c r="G438" s="69"/>
    </row>
    <row r="439" spans="1:7" ht="15" x14ac:dyDescent="0.25">
      <c r="A439" s="69"/>
      <c r="B439" s="69"/>
      <c r="C439" s="69"/>
      <c r="D439" s="69"/>
      <c r="E439" s="70"/>
      <c r="F439" s="71"/>
      <c r="G439" s="69"/>
    </row>
    <row r="440" spans="1:7" ht="15" x14ac:dyDescent="0.25">
      <c r="A440" s="69"/>
      <c r="B440" s="69"/>
      <c r="C440" s="69"/>
      <c r="D440" s="69"/>
      <c r="E440" s="70"/>
      <c r="F440" s="71"/>
      <c r="G440" s="69"/>
    </row>
    <row r="441" spans="1:7" ht="15" x14ac:dyDescent="0.25">
      <c r="A441" s="69"/>
      <c r="B441" s="69"/>
      <c r="C441" s="69"/>
      <c r="D441" s="69"/>
      <c r="E441" s="70"/>
      <c r="F441" s="71"/>
      <c r="G441" s="69"/>
    </row>
    <row r="442" spans="1:7" ht="15" x14ac:dyDescent="0.25">
      <c r="A442" s="69"/>
      <c r="B442" s="69"/>
      <c r="C442" s="69"/>
      <c r="D442" s="69"/>
      <c r="E442" s="70"/>
      <c r="F442" s="71"/>
      <c r="G442" s="69"/>
    </row>
    <row r="443" spans="1:7" ht="15" x14ac:dyDescent="0.25">
      <c r="A443" s="69"/>
      <c r="B443" s="69"/>
      <c r="C443" s="69"/>
      <c r="D443" s="69"/>
      <c r="E443" s="70"/>
      <c r="F443" s="71"/>
      <c r="G443" s="69"/>
    </row>
    <row r="444" spans="1:7" ht="15" x14ac:dyDescent="0.25">
      <c r="A444" s="69"/>
      <c r="B444" s="69"/>
      <c r="C444" s="69"/>
      <c r="D444" s="69"/>
      <c r="E444" s="70"/>
      <c r="F444" s="71"/>
      <c r="G444" s="69"/>
    </row>
    <row r="445" spans="1:7" ht="15" x14ac:dyDescent="0.25">
      <c r="A445" s="69"/>
      <c r="B445" s="69"/>
      <c r="C445" s="69"/>
      <c r="D445" s="69"/>
      <c r="E445" s="70"/>
      <c r="F445" s="71"/>
      <c r="G445" s="69"/>
    </row>
    <row r="446" spans="1:7" ht="15" x14ac:dyDescent="0.25">
      <c r="A446" s="69"/>
      <c r="B446" s="69"/>
      <c r="C446" s="69"/>
      <c r="D446" s="69"/>
      <c r="E446" s="70"/>
      <c r="F446" s="71"/>
      <c r="G446" s="69"/>
    </row>
    <row r="447" spans="1:7" ht="15" x14ac:dyDescent="0.25">
      <c r="A447" s="69"/>
      <c r="B447" s="69"/>
      <c r="C447" s="69"/>
      <c r="D447" s="69"/>
      <c r="E447" s="70"/>
      <c r="F447" s="71"/>
      <c r="G447" s="69"/>
    </row>
    <row r="448" spans="1:7" ht="15" x14ac:dyDescent="0.25">
      <c r="A448" s="69"/>
      <c r="B448" s="69"/>
      <c r="C448" s="69"/>
      <c r="D448" s="69"/>
      <c r="E448" s="70"/>
      <c r="F448" s="71"/>
      <c r="G448" s="69"/>
    </row>
    <row r="449" spans="1:7" ht="15" x14ac:dyDescent="0.25">
      <c r="A449" s="69"/>
      <c r="B449" s="69"/>
      <c r="C449" s="69"/>
      <c r="D449" s="69"/>
      <c r="E449" s="70"/>
      <c r="F449" s="71"/>
      <c r="G449" s="69"/>
    </row>
    <row r="450" spans="1:7" ht="15" x14ac:dyDescent="0.25">
      <c r="A450" s="69"/>
      <c r="B450" s="69"/>
      <c r="C450" s="69"/>
      <c r="D450" s="69"/>
      <c r="E450" s="70"/>
      <c r="F450" s="71"/>
      <c r="G450" s="69"/>
    </row>
    <row r="451" spans="1:7" ht="15" x14ac:dyDescent="0.25">
      <c r="A451" s="69"/>
      <c r="B451" s="69"/>
      <c r="C451" s="69"/>
      <c r="D451" s="69"/>
      <c r="E451" s="70"/>
      <c r="F451" s="71"/>
      <c r="G451" s="69"/>
    </row>
    <row r="452" spans="1:7" ht="15" x14ac:dyDescent="0.25">
      <c r="A452" s="69"/>
      <c r="B452" s="69"/>
      <c r="C452" s="69"/>
      <c r="D452" s="69"/>
      <c r="E452" s="70"/>
      <c r="F452" s="71"/>
      <c r="G452" s="69"/>
    </row>
    <row r="453" spans="1:7" ht="15" x14ac:dyDescent="0.25">
      <c r="A453" s="69"/>
      <c r="B453" s="69"/>
      <c r="C453" s="69"/>
      <c r="D453" s="69"/>
      <c r="E453" s="70"/>
      <c r="F453" s="71"/>
      <c r="G453" s="69"/>
    </row>
    <row r="454" spans="1:7" ht="15" x14ac:dyDescent="0.25">
      <c r="A454" s="69"/>
      <c r="B454" s="69"/>
      <c r="C454" s="69"/>
      <c r="D454" s="69"/>
      <c r="E454" s="70"/>
      <c r="F454" s="71"/>
      <c r="G454" s="69"/>
    </row>
    <row r="455" spans="1:7" ht="15" x14ac:dyDescent="0.25">
      <c r="A455" s="69"/>
      <c r="B455" s="69"/>
      <c r="C455" s="69"/>
      <c r="D455" s="69"/>
      <c r="E455" s="70"/>
      <c r="F455" s="71"/>
      <c r="G455" s="69"/>
    </row>
    <row r="456" spans="1:7" ht="15" x14ac:dyDescent="0.25">
      <c r="A456" s="69"/>
      <c r="B456" s="69"/>
      <c r="C456" s="69"/>
      <c r="D456" s="69"/>
      <c r="E456" s="70"/>
      <c r="F456" s="71"/>
      <c r="G456" s="69"/>
    </row>
    <row r="457" spans="1:7" ht="15" x14ac:dyDescent="0.25">
      <c r="A457" s="69"/>
      <c r="B457" s="69"/>
      <c r="C457" s="69"/>
      <c r="D457" s="69"/>
      <c r="E457" s="70"/>
      <c r="F457" s="71"/>
      <c r="G457" s="69"/>
    </row>
    <row r="458" spans="1:7" ht="15" x14ac:dyDescent="0.25">
      <c r="A458" s="69"/>
      <c r="B458" s="69"/>
      <c r="C458" s="69"/>
      <c r="D458" s="69"/>
      <c r="E458" s="70"/>
      <c r="F458" s="71"/>
      <c r="G458" s="69"/>
    </row>
    <row r="459" spans="1:7" ht="15" x14ac:dyDescent="0.25">
      <c r="A459" s="69"/>
      <c r="B459" s="69"/>
      <c r="C459" s="69"/>
      <c r="D459" s="69"/>
      <c r="E459" s="70"/>
      <c r="F459" s="71"/>
      <c r="G459" s="69"/>
    </row>
    <row r="460" spans="1:7" ht="15" x14ac:dyDescent="0.25">
      <c r="A460" s="69"/>
      <c r="B460" s="69"/>
      <c r="C460" s="69"/>
      <c r="D460" s="69"/>
      <c r="E460" s="70"/>
      <c r="F460" s="71"/>
      <c r="G460" s="69"/>
    </row>
    <row r="461" spans="1:7" ht="15" x14ac:dyDescent="0.25">
      <c r="A461" s="69"/>
      <c r="B461" s="69"/>
      <c r="C461" s="69"/>
      <c r="D461" s="69"/>
      <c r="E461" s="70"/>
      <c r="F461" s="71"/>
      <c r="G461" s="69"/>
    </row>
    <row r="462" spans="1:7" ht="15" x14ac:dyDescent="0.25">
      <c r="A462" s="69"/>
      <c r="B462" s="69"/>
      <c r="C462" s="69"/>
      <c r="D462" s="69"/>
      <c r="E462" s="70"/>
      <c r="F462" s="71"/>
      <c r="G462" s="69"/>
    </row>
    <row r="463" spans="1:7" ht="15" x14ac:dyDescent="0.25">
      <c r="A463" s="69"/>
      <c r="B463" s="69"/>
      <c r="C463" s="69"/>
      <c r="D463" s="69"/>
      <c r="E463" s="70"/>
      <c r="F463" s="71"/>
      <c r="G463" s="69"/>
    </row>
    <row r="464" spans="1:7" ht="15" x14ac:dyDescent="0.25">
      <c r="A464" s="69"/>
      <c r="B464" s="69"/>
      <c r="C464" s="69"/>
      <c r="D464" s="69"/>
      <c r="E464" s="70"/>
      <c r="F464" s="71"/>
      <c r="G464" s="69"/>
    </row>
    <row r="465" spans="1:7" ht="15" x14ac:dyDescent="0.25">
      <c r="A465" s="69"/>
      <c r="B465" s="69"/>
      <c r="C465" s="69"/>
      <c r="D465" s="69"/>
      <c r="E465" s="70"/>
      <c r="F465" s="71"/>
      <c r="G465" s="69"/>
    </row>
    <row r="466" spans="1:7" ht="15" x14ac:dyDescent="0.25">
      <c r="A466" s="69"/>
      <c r="B466" s="69"/>
      <c r="C466" s="69"/>
      <c r="D466" s="69"/>
      <c r="E466" s="70"/>
      <c r="F466" s="71"/>
      <c r="G466" s="69"/>
    </row>
    <row r="467" spans="1:7" ht="15" x14ac:dyDescent="0.25">
      <c r="A467" s="69"/>
      <c r="B467" s="69"/>
      <c r="C467" s="69"/>
      <c r="D467" s="69"/>
      <c r="E467" s="70"/>
      <c r="F467" s="71"/>
      <c r="G467" s="69"/>
    </row>
    <row r="468" spans="1:7" ht="15" x14ac:dyDescent="0.25">
      <c r="A468" s="69"/>
      <c r="B468" s="69"/>
      <c r="C468" s="69"/>
      <c r="D468" s="69"/>
      <c r="E468" s="70"/>
      <c r="F468" s="71"/>
      <c r="G468" s="69"/>
    </row>
    <row r="469" spans="1:7" ht="15" x14ac:dyDescent="0.25">
      <c r="A469" s="69"/>
      <c r="B469" s="69"/>
      <c r="C469" s="69"/>
      <c r="D469" s="69"/>
      <c r="E469" s="70"/>
      <c r="F469" s="71"/>
      <c r="G469" s="69"/>
    </row>
    <row r="470" spans="1:7" ht="15" x14ac:dyDescent="0.25">
      <c r="A470" s="69"/>
      <c r="B470" s="69"/>
      <c r="C470" s="69"/>
      <c r="D470" s="69"/>
      <c r="E470" s="70"/>
      <c r="F470" s="71"/>
      <c r="G470" s="69"/>
    </row>
    <row r="471" spans="1:7" ht="15" x14ac:dyDescent="0.25">
      <c r="A471" s="69"/>
      <c r="B471" s="69"/>
      <c r="C471" s="69"/>
      <c r="D471" s="69"/>
      <c r="E471" s="70"/>
      <c r="F471" s="71"/>
      <c r="G471" s="69"/>
    </row>
    <row r="472" spans="1:7" ht="15" x14ac:dyDescent="0.25">
      <c r="A472" s="69"/>
      <c r="B472" s="69"/>
      <c r="C472" s="69"/>
      <c r="D472" s="69"/>
      <c r="E472" s="70"/>
      <c r="F472" s="71"/>
      <c r="G472" s="69"/>
    </row>
    <row r="473" spans="1:7" ht="15" x14ac:dyDescent="0.25">
      <c r="A473" s="69"/>
      <c r="B473" s="69"/>
      <c r="C473" s="69"/>
      <c r="D473" s="69"/>
      <c r="E473" s="70"/>
      <c r="F473" s="71"/>
      <c r="G473" s="69"/>
    </row>
    <row r="474" spans="1:7" ht="15" x14ac:dyDescent="0.25">
      <c r="A474" s="69"/>
      <c r="B474" s="69"/>
      <c r="C474" s="69"/>
      <c r="D474" s="69"/>
      <c r="E474" s="70"/>
      <c r="F474" s="71"/>
      <c r="G474" s="69"/>
    </row>
    <row r="475" spans="1:7" ht="15" x14ac:dyDescent="0.25">
      <c r="A475" s="69"/>
      <c r="B475" s="69"/>
      <c r="C475" s="69"/>
      <c r="D475" s="69"/>
      <c r="E475" s="70"/>
      <c r="F475" s="71"/>
      <c r="G475" s="69"/>
    </row>
    <row r="476" spans="1:7" ht="15" x14ac:dyDescent="0.25">
      <c r="A476" s="69"/>
      <c r="B476" s="69"/>
      <c r="C476" s="69"/>
      <c r="D476" s="69"/>
      <c r="E476" s="70"/>
      <c r="F476" s="71"/>
      <c r="G476" s="69"/>
    </row>
    <row r="477" spans="1:7" ht="15" x14ac:dyDescent="0.25">
      <c r="A477" s="69"/>
      <c r="B477" s="69"/>
      <c r="C477" s="69"/>
      <c r="D477" s="69"/>
      <c r="E477" s="70"/>
      <c r="F477" s="71"/>
      <c r="G477" s="69"/>
    </row>
    <row r="478" spans="1:7" ht="15" x14ac:dyDescent="0.25">
      <c r="A478" s="69"/>
      <c r="B478" s="69"/>
      <c r="C478" s="69"/>
      <c r="D478" s="69"/>
      <c r="E478" s="70"/>
      <c r="F478" s="71"/>
      <c r="G478" s="69"/>
    </row>
    <row r="479" spans="1:7" ht="15" x14ac:dyDescent="0.25">
      <c r="A479" s="69"/>
      <c r="B479" s="69"/>
      <c r="C479" s="69"/>
      <c r="D479" s="69"/>
      <c r="E479" s="70"/>
      <c r="F479" s="71"/>
      <c r="G479" s="69"/>
    </row>
    <row r="480" spans="1:7" ht="15" x14ac:dyDescent="0.25">
      <c r="A480" s="69"/>
      <c r="B480" s="69"/>
      <c r="C480" s="69"/>
      <c r="D480" s="69"/>
      <c r="E480" s="70"/>
      <c r="F480" s="71"/>
      <c r="G480" s="69"/>
    </row>
    <row r="481" spans="1:7" ht="15" x14ac:dyDescent="0.25">
      <c r="A481" s="69"/>
      <c r="B481" s="69"/>
      <c r="C481" s="69"/>
      <c r="D481" s="69"/>
      <c r="E481" s="70"/>
      <c r="F481" s="71"/>
      <c r="G481" s="69"/>
    </row>
    <row r="482" spans="1:7" ht="15" x14ac:dyDescent="0.25">
      <c r="A482" s="69"/>
      <c r="B482" s="69"/>
      <c r="C482" s="69"/>
      <c r="D482" s="69"/>
      <c r="E482" s="70"/>
      <c r="F482" s="71"/>
      <c r="G482" s="69"/>
    </row>
    <row r="483" spans="1:7" ht="15" x14ac:dyDescent="0.25">
      <c r="A483" s="69"/>
      <c r="B483" s="69"/>
      <c r="C483" s="69"/>
      <c r="D483" s="69"/>
      <c r="E483" s="70"/>
      <c r="F483" s="71"/>
      <c r="G483" s="69"/>
    </row>
    <row r="484" spans="1:7" ht="15" x14ac:dyDescent="0.25">
      <c r="A484" s="69"/>
      <c r="B484" s="69"/>
      <c r="C484" s="69"/>
      <c r="D484" s="69"/>
      <c r="E484" s="70"/>
      <c r="F484" s="71"/>
      <c r="G484" s="69"/>
    </row>
    <row r="485" spans="1:7" ht="15" x14ac:dyDescent="0.25">
      <c r="A485" s="69"/>
      <c r="B485" s="69"/>
      <c r="C485" s="69"/>
      <c r="D485" s="69"/>
      <c r="E485" s="70"/>
      <c r="F485" s="71"/>
      <c r="G485" s="69"/>
    </row>
    <row r="486" spans="1:7" ht="15" x14ac:dyDescent="0.25">
      <c r="A486" s="69"/>
      <c r="B486" s="69"/>
      <c r="C486" s="69"/>
      <c r="D486" s="69"/>
      <c r="E486" s="70"/>
      <c r="F486" s="71"/>
      <c r="G486" s="69"/>
    </row>
    <row r="487" spans="1:7" ht="15" x14ac:dyDescent="0.25">
      <c r="A487" s="69"/>
      <c r="B487" s="69"/>
      <c r="C487" s="69"/>
      <c r="D487" s="69"/>
      <c r="E487" s="70"/>
      <c r="F487" s="71"/>
      <c r="G487" s="69"/>
    </row>
    <row r="488" spans="1:7" ht="15" x14ac:dyDescent="0.25">
      <c r="A488" s="69"/>
      <c r="B488" s="69"/>
      <c r="C488" s="69"/>
      <c r="D488" s="69"/>
      <c r="E488" s="70"/>
      <c r="F488" s="71"/>
      <c r="G488" s="69"/>
    </row>
    <row r="489" spans="1:7" ht="15" x14ac:dyDescent="0.25">
      <c r="A489" s="69"/>
      <c r="B489" s="69"/>
      <c r="C489" s="69"/>
      <c r="D489" s="69"/>
      <c r="E489" s="70"/>
      <c r="F489" s="71"/>
      <c r="G489" s="69"/>
    </row>
    <row r="490" spans="1:7" ht="15" x14ac:dyDescent="0.25">
      <c r="A490" s="69"/>
      <c r="B490" s="69"/>
      <c r="C490" s="69"/>
      <c r="D490" s="69"/>
      <c r="E490" s="70"/>
      <c r="F490" s="71"/>
      <c r="G490" s="69"/>
    </row>
    <row r="491" spans="1:7" ht="15" x14ac:dyDescent="0.25">
      <c r="A491" s="69"/>
      <c r="B491" s="69"/>
      <c r="C491" s="69"/>
      <c r="D491" s="69"/>
      <c r="E491" s="70"/>
      <c r="F491" s="71"/>
      <c r="G491" s="69"/>
    </row>
    <row r="492" spans="1:7" ht="15" x14ac:dyDescent="0.25">
      <c r="A492" s="69"/>
      <c r="B492" s="69"/>
      <c r="C492" s="69"/>
      <c r="D492" s="69"/>
      <c r="E492" s="70"/>
      <c r="F492" s="71"/>
      <c r="G492" s="69"/>
    </row>
    <row r="493" spans="1:7" ht="15" x14ac:dyDescent="0.25">
      <c r="A493" s="69"/>
      <c r="B493" s="69"/>
      <c r="C493" s="69"/>
      <c r="D493" s="69"/>
      <c r="E493" s="70"/>
      <c r="F493" s="71"/>
      <c r="G493" s="69"/>
    </row>
    <row r="494" spans="1:7" ht="15" x14ac:dyDescent="0.25">
      <c r="A494" s="69"/>
      <c r="B494" s="69"/>
      <c r="C494" s="69"/>
      <c r="D494" s="69"/>
      <c r="E494" s="70"/>
      <c r="F494" s="71"/>
      <c r="G494" s="69"/>
    </row>
    <row r="495" spans="1:7" ht="15" x14ac:dyDescent="0.25">
      <c r="A495" s="69"/>
      <c r="B495" s="69"/>
      <c r="C495" s="69"/>
      <c r="D495" s="69"/>
      <c r="E495" s="70"/>
      <c r="F495" s="71"/>
      <c r="G495" s="69"/>
    </row>
    <row r="496" spans="1:7" ht="15" x14ac:dyDescent="0.25">
      <c r="A496" s="69"/>
      <c r="B496" s="69"/>
      <c r="C496" s="69"/>
      <c r="D496" s="69"/>
      <c r="E496" s="70"/>
      <c r="F496" s="71"/>
      <c r="G496" s="69"/>
    </row>
    <row r="497" spans="1:7" ht="15" x14ac:dyDescent="0.25">
      <c r="A497" s="69"/>
      <c r="B497" s="69"/>
      <c r="C497" s="69"/>
      <c r="D497" s="69"/>
      <c r="E497" s="70"/>
      <c r="F497" s="71"/>
      <c r="G497" s="69"/>
    </row>
    <row r="498" spans="1:7" ht="15" x14ac:dyDescent="0.25">
      <c r="A498" s="69"/>
      <c r="B498" s="69"/>
      <c r="C498" s="69"/>
      <c r="D498" s="69"/>
      <c r="E498" s="70"/>
      <c r="F498" s="71"/>
      <c r="G498" s="69"/>
    </row>
    <row r="499" spans="1:7" ht="15" x14ac:dyDescent="0.25">
      <c r="A499" s="69"/>
      <c r="B499" s="69"/>
      <c r="C499" s="69"/>
      <c r="D499" s="69"/>
      <c r="E499" s="70"/>
      <c r="F499" s="71"/>
      <c r="G499" s="69"/>
    </row>
    <row r="500" spans="1:7" ht="15" x14ac:dyDescent="0.25">
      <c r="A500" s="69"/>
      <c r="B500" s="69"/>
      <c r="C500" s="69"/>
      <c r="D500" s="69"/>
      <c r="E500" s="70"/>
      <c r="F500" s="71"/>
      <c r="G500" s="69"/>
    </row>
    <row r="501" spans="1:7" ht="15" x14ac:dyDescent="0.25">
      <c r="A501" s="69"/>
      <c r="B501" s="69"/>
      <c r="C501" s="69"/>
      <c r="D501" s="69"/>
      <c r="E501" s="70"/>
      <c r="F501" s="71"/>
      <c r="G501" s="69"/>
    </row>
    <row r="502" spans="1:7" ht="15" x14ac:dyDescent="0.25">
      <c r="A502" s="69"/>
      <c r="B502" s="69"/>
      <c r="C502" s="69"/>
      <c r="D502" s="69"/>
      <c r="E502" s="70"/>
      <c r="F502" s="71"/>
      <c r="G502" s="69"/>
    </row>
    <row r="503" spans="1:7" ht="15" x14ac:dyDescent="0.25">
      <c r="A503" s="69"/>
      <c r="B503" s="69"/>
      <c r="C503" s="69"/>
      <c r="D503" s="69"/>
      <c r="E503" s="70"/>
      <c r="F503" s="71"/>
      <c r="G503" s="69"/>
    </row>
    <row r="504" spans="1:7" ht="15" x14ac:dyDescent="0.25">
      <c r="A504" s="69"/>
      <c r="B504" s="69"/>
      <c r="C504" s="69"/>
      <c r="D504" s="69"/>
      <c r="E504" s="70"/>
      <c r="F504" s="71"/>
      <c r="G504" s="69"/>
    </row>
    <row r="505" spans="1:7" ht="15" x14ac:dyDescent="0.25">
      <c r="A505" s="69"/>
      <c r="B505" s="69"/>
      <c r="C505" s="69"/>
      <c r="D505" s="69"/>
      <c r="E505" s="70"/>
      <c r="F505" s="71"/>
      <c r="G505" s="69"/>
    </row>
    <row r="506" spans="1:7" ht="15" x14ac:dyDescent="0.25">
      <c r="A506" s="69"/>
      <c r="B506" s="69"/>
      <c r="C506" s="69"/>
      <c r="D506" s="69"/>
      <c r="E506" s="70"/>
      <c r="F506" s="71"/>
      <c r="G506" s="69"/>
    </row>
    <row r="507" spans="1:7" ht="15" x14ac:dyDescent="0.25">
      <c r="A507" s="69"/>
      <c r="B507" s="69"/>
      <c r="C507" s="69"/>
      <c r="D507" s="69"/>
      <c r="E507" s="70"/>
      <c r="F507" s="71"/>
      <c r="G507" s="69"/>
    </row>
    <row r="508" spans="1:7" ht="15" x14ac:dyDescent="0.25">
      <c r="A508" s="69"/>
      <c r="B508" s="69"/>
      <c r="C508" s="69"/>
      <c r="D508" s="69"/>
      <c r="E508" s="70"/>
      <c r="F508" s="71"/>
      <c r="G508" s="69"/>
    </row>
    <row r="509" spans="1:7" ht="15" x14ac:dyDescent="0.25">
      <c r="A509" s="69"/>
      <c r="B509" s="69"/>
      <c r="C509" s="69"/>
      <c r="D509" s="69"/>
      <c r="E509" s="70"/>
      <c r="F509" s="71"/>
      <c r="G509" s="69"/>
    </row>
    <row r="510" spans="1:7" ht="15" x14ac:dyDescent="0.25">
      <c r="A510" s="69"/>
      <c r="B510" s="69"/>
      <c r="C510" s="69"/>
      <c r="D510" s="69"/>
      <c r="E510" s="70"/>
      <c r="F510" s="71"/>
      <c r="G510" s="69"/>
    </row>
    <row r="511" spans="1:7" ht="15" x14ac:dyDescent="0.25">
      <c r="A511" s="69"/>
      <c r="B511" s="69"/>
      <c r="C511" s="69"/>
      <c r="D511" s="69"/>
      <c r="E511" s="70"/>
      <c r="F511" s="71"/>
      <c r="G511" s="69"/>
    </row>
    <row r="512" spans="1:7" ht="15" x14ac:dyDescent="0.25">
      <c r="A512" s="69"/>
      <c r="B512" s="69"/>
      <c r="C512" s="69"/>
      <c r="D512" s="69"/>
      <c r="E512" s="70"/>
      <c r="F512" s="71"/>
      <c r="G512" s="69"/>
    </row>
    <row r="513" spans="1:7" ht="15" x14ac:dyDescent="0.25">
      <c r="A513" s="69"/>
      <c r="B513" s="69"/>
      <c r="C513" s="69"/>
      <c r="D513" s="69"/>
      <c r="E513" s="70"/>
      <c r="F513" s="71"/>
      <c r="G513" s="69"/>
    </row>
    <row r="514" spans="1:7" ht="15" x14ac:dyDescent="0.25">
      <c r="A514" s="69"/>
      <c r="B514" s="69"/>
      <c r="C514" s="69"/>
      <c r="D514" s="69"/>
      <c r="E514" s="70"/>
      <c r="F514" s="71"/>
      <c r="G514" s="69"/>
    </row>
    <row r="515" spans="1:7" ht="15" x14ac:dyDescent="0.25">
      <c r="A515" s="69"/>
      <c r="B515" s="69"/>
      <c r="C515" s="69"/>
      <c r="D515" s="69"/>
      <c r="E515" s="70"/>
      <c r="F515" s="71"/>
      <c r="G515" s="69"/>
    </row>
    <row r="516" spans="1:7" ht="15" x14ac:dyDescent="0.25">
      <c r="A516" s="69"/>
      <c r="B516" s="69"/>
      <c r="C516" s="69"/>
      <c r="D516" s="69"/>
      <c r="E516" s="70"/>
      <c r="F516" s="71"/>
      <c r="G516" s="69"/>
    </row>
    <row r="517" spans="1:7" ht="15" x14ac:dyDescent="0.25">
      <c r="A517" s="69"/>
      <c r="B517" s="69"/>
      <c r="C517" s="69"/>
      <c r="D517" s="69"/>
      <c r="E517" s="70"/>
      <c r="F517" s="71"/>
      <c r="G517" s="69"/>
    </row>
    <row r="518" spans="1:7" ht="15" x14ac:dyDescent="0.25">
      <c r="A518" s="69"/>
      <c r="B518" s="69"/>
      <c r="C518" s="69"/>
      <c r="D518" s="69"/>
      <c r="E518" s="70"/>
      <c r="F518" s="71"/>
      <c r="G518" s="69"/>
    </row>
    <row r="519" spans="1:7" ht="15" x14ac:dyDescent="0.25">
      <c r="A519" s="69"/>
      <c r="B519" s="69"/>
      <c r="C519" s="69"/>
      <c r="D519" s="69"/>
      <c r="E519" s="70"/>
      <c r="F519" s="71"/>
      <c r="G519" s="69"/>
    </row>
    <row r="520" spans="1:7" ht="15" x14ac:dyDescent="0.25">
      <c r="A520" s="69"/>
      <c r="B520" s="69"/>
      <c r="C520" s="69"/>
      <c r="D520" s="69"/>
      <c r="E520" s="70"/>
      <c r="F520" s="71"/>
      <c r="G520" s="69"/>
    </row>
    <row r="521" spans="1:7" ht="15" x14ac:dyDescent="0.25">
      <c r="A521" s="69"/>
      <c r="B521" s="69"/>
      <c r="C521" s="69"/>
      <c r="D521" s="69"/>
      <c r="E521" s="70"/>
      <c r="F521" s="71"/>
      <c r="G521" s="69"/>
    </row>
    <row r="522" spans="1:7" ht="15" x14ac:dyDescent="0.25">
      <c r="A522" s="69"/>
      <c r="B522" s="69"/>
      <c r="C522" s="69"/>
      <c r="D522" s="69"/>
      <c r="E522" s="70"/>
      <c r="F522" s="71"/>
      <c r="G522" s="69"/>
    </row>
    <row r="523" spans="1:7" ht="15" x14ac:dyDescent="0.25">
      <c r="A523" s="69"/>
      <c r="B523" s="69"/>
      <c r="C523" s="69"/>
      <c r="D523" s="69"/>
      <c r="E523" s="70"/>
      <c r="F523" s="71"/>
      <c r="G523" s="69"/>
    </row>
    <row r="524" spans="1:7" ht="15" x14ac:dyDescent="0.25">
      <c r="A524" s="69"/>
      <c r="B524" s="69"/>
      <c r="C524" s="69"/>
      <c r="D524" s="69"/>
      <c r="E524" s="70"/>
      <c r="F524" s="71"/>
      <c r="G524" s="69"/>
    </row>
    <row r="525" spans="1:7" ht="15" x14ac:dyDescent="0.25">
      <c r="A525" s="69"/>
      <c r="B525" s="69"/>
      <c r="C525" s="69"/>
      <c r="D525" s="69"/>
      <c r="E525" s="70"/>
      <c r="F525" s="71"/>
      <c r="G525" s="69"/>
    </row>
    <row r="526" spans="1:7" ht="15" x14ac:dyDescent="0.25">
      <c r="A526" s="69"/>
      <c r="B526" s="69"/>
      <c r="C526" s="69"/>
      <c r="D526" s="69"/>
      <c r="E526" s="70"/>
      <c r="F526" s="71"/>
      <c r="G526" s="69"/>
    </row>
    <row r="527" spans="1:7" ht="15" x14ac:dyDescent="0.25">
      <c r="A527" s="69"/>
      <c r="B527" s="69"/>
      <c r="C527" s="69"/>
      <c r="D527" s="69"/>
      <c r="E527" s="70"/>
      <c r="F527" s="71"/>
      <c r="G527" s="69"/>
    </row>
    <row r="528" spans="1:7" ht="15" x14ac:dyDescent="0.25">
      <c r="A528" s="69"/>
      <c r="B528" s="69"/>
      <c r="C528" s="69"/>
      <c r="D528" s="69"/>
      <c r="E528" s="70"/>
      <c r="F528" s="71"/>
      <c r="G528" s="69"/>
    </row>
    <row r="529" spans="1:7" ht="15" x14ac:dyDescent="0.25">
      <c r="A529" s="69"/>
      <c r="B529" s="69"/>
      <c r="C529" s="69"/>
      <c r="D529" s="69"/>
      <c r="E529" s="70"/>
      <c r="F529" s="71"/>
      <c r="G529" s="69"/>
    </row>
    <row r="530" spans="1:7" ht="15" x14ac:dyDescent="0.25">
      <c r="A530" s="69"/>
      <c r="B530" s="69"/>
      <c r="C530" s="69"/>
      <c r="D530" s="69"/>
      <c r="E530" s="70"/>
      <c r="F530" s="71"/>
      <c r="G530" s="69"/>
    </row>
    <row r="531" spans="1:7" ht="15" x14ac:dyDescent="0.25">
      <c r="A531" s="69"/>
      <c r="B531" s="69"/>
      <c r="C531" s="69"/>
      <c r="D531" s="69"/>
      <c r="E531" s="70"/>
      <c r="F531" s="71"/>
      <c r="G531" s="69"/>
    </row>
    <row r="532" spans="1:7" ht="15" x14ac:dyDescent="0.25">
      <c r="A532" s="69"/>
      <c r="B532" s="69"/>
      <c r="C532" s="69"/>
      <c r="D532" s="69"/>
      <c r="E532" s="70"/>
      <c r="F532" s="71"/>
      <c r="G532" s="69"/>
    </row>
    <row r="533" spans="1:7" ht="15" x14ac:dyDescent="0.25">
      <c r="A533" s="69"/>
      <c r="B533" s="69"/>
      <c r="C533" s="69"/>
      <c r="D533" s="69"/>
      <c r="E533" s="70"/>
      <c r="F533" s="71"/>
      <c r="G533" s="69"/>
    </row>
    <row r="534" spans="1:7" ht="15" x14ac:dyDescent="0.25">
      <c r="A534" s="69"/>
      <c r="B534" s="69"/>
      <c r="C534" s="69"/>
      <c r="D534" s="69"/>
      <c r="E534" s="70"/>
      <c r="F534" s="71"/>
      <c r="G534" s="69"/>
    </row>
    <row r="535" spans="1:7" ht="15" x14ac:dyDescent="0.25">
      <c r="A535" s="69"/>
      <c r="B535" s="69"/>
      <c r="C535" s="69"/>
      <c r="D535" s="69"/>
      <c r="E535" s="70"/>
      <c r="F535" s="71"/>
      <c r="G535" s="69"/>
    </row>
    <row r="536" spans="1:7" ht="15" x14ac:dyDescent="0.25">
      <c r="A536" s="69"/>
      <c r="B536" s="69"/>
      <c r="C536" s="69"/>
      <c r="D536" s="69"/>
      <c r="E536" s="70"/>
      <c r="F536" s="71"/>
      <c r="G536" s="69"/>
    </row>
    <row r="537" spans="1:7" ht="15" x14ac:dyDescent="0.25">
      <c r="A537" s="69"/>
      <c r="B537" s="69"/>
      <c r="C537" s="69"/>
      <c r="D537" s="69"/>
      <c r="E537" s="70"/>
      <c r="F537" s="71"/>
      <c r="G537" s="69"/>
    </row>
    <row r="538" spans="1:7" ht="15" x14ac:dyDescent="0.25">
      <c r="A538" s="69"/>
      <c r="B538" s="69"/>
      <c r="C538" s="69"/>
      <c r="D538" s="69"/>
      <c r="E538" s="70"/>
      <c r="F538" s="71"/>
      <c r="G538" s="69"/>
    </row>
    <row r="539" spans="1:7" ht="15" x14ac:dyDescent="0.25">
      <c r="A539" s="69"/>
      <c r="B539" s="69"/>
      <c r="C539" s="69"/>
      <c r="D539" s="69"/>
      <c r="E539" s="70"/>
      <c r="F539" s="71"/>
      <c r="G539" s="69"/>
    </row>
    <row r="540" spans="1:7" ht="15" x14ac:dyDescent="0.25">
      <c r="A540" s="69"/>
      <c r="B540" s="69"/>
      <c r="C540" s="69"/>
      <c r="D540" s="69"/>
      <c r="E540" s="70"/>
      <c r="F540" s="71"/>
      <c r="G540" s="69"/>
    </row>
    <row r="541" spans="1:7" ht="15" x14ac:dyDescent="0.25">
      <c r="A541" s="69"/>
      <c r="B541" s="69"/>
      <c r="C541" s="69"/>
      <c r="D541" s="69"/>
      <c r="E541" s="70"/>
      <c r="F541" s="71"/>
      <c r="G541" s="69"/>
    </row>
    <row r="542" spans="1:7" ht="15" x14ac:dyDescent="0.25">
      <c r="A542" s="69"/>
      <c r="B542" s="69"/>
      <c r="C542" s="69"/>
      <c r="D542" s="69"/>
      <c r="E542" s="70"/>
      <c r="F542" s="71"/>
      <c r="G542" s="69"/>
    </row>
    <row r="543" spans="1:7" ht="15" x14ac:dyDescent="0.25">
      <c r="A543" s="69"/>
      <c r="B543" s="69"/>
      <c r="C543" s="69"/>
      <c r="D543" s="69"/>
      <c r="E543" s="70"/>
      <c r="F543" s="71"/>
      <c r="G543" s="69"/>
    </row>
    <row r="544" spans="1:7" ht="15" x14ac:dyDescent="0.25">
      <c r="A544" s="69"/>
      <c r="B544" s="69"/>
      <c r="C544" s="69"/>
      <c r="D544" s="69"/>
      <c r="E544" s="70"/>
      <c r="F544" s="71"/>
      <c r="G544" s="69"/>
    </row>
    <row r="545" spans="1:7" ht="15" x14ac:dyDescent="0.25">
      <c r="A545" s="69"/>
      <c r="B545" s="69"/>
      <c r="C545" s="69"/>
      <c r="D545" s="69"/>
      <c r="E545" s="70"/>
      <c r="F545" s="71"/>
      <c r="G545" s="69"/>
    </row>
    <row r="546" spans="1:7" ht="15" x14ac:dyDescent="0.25">
      <c r="A546" s="69"/>
      <c r="B546" s="69"/>
      <c r="C546" s="69"/>
      <c r="D546" s="69"/>
      <c r="E546" s="70"/>
      <c r="F546" s="71"/>
      <c r="G546" s="69"/>
    </row>
    <row r="547" spans="1:7" ht="15" x14ac:dyDescent="0.25">
      <c r="A547" s="69"/>
      <c r="B547" s="69"/>
      <c r="C547" s="69"/>
      <c r="D547" s="69"/>
      <c r="E547" s="70"/>
      <c r="F547" s="71"/>
      <c r="G547" s="69"/>
    </row>
    <row r="548" spans="1:7" ht="15" x14ac:dyDescent="0.25">
      <c r="A548" s="69"/>
      <c r="B548" s="69"/>
      <c r="C548" s="69"/>
      <c r="D548" s="69"/>
      <c r="E548" s="70"/>
      <c r="F548" s="71"/>
      <c r="G548" s="69"/>
    </row>
    <row r="549" spans="1:7" ht="15" x14ac:dyDescent="0.25">
      <c r="A549" s="69"/>
      <c r="B549" s="69"/>
      <c r="C549" s="69"/>
      <c r="D549" s="69"/>
      <c r="E549" s="70"/>
      <c r="F549" s="71"/>
      <c r="G549" s="69"/>
    </row>
    <row r="550" spans="1:7" ht="15" x14ac:dyDescent="0.25">
      <c r="A550" s="69"/>
      <c r="B550" s="69"/>
      <c r="C550" s="69"/>
      <c r="D550" s="69"/>
      <c r="E550" s="70"/>
      <c r="F550" s="71"/>
      <c r="G550" s="69"/>
    </row>
    <row r="551" spans="1:7" ht="15" x14ac:dyDescent="0.25">
      <c r="A551" s="69"/>
      <c r="B551" s="69"/>
      <c r="C551" s="69"/>
      <c r="D551" s="69"/>
      <c r="E551" s="70"/>
      <c r="F551" s="71"/>
      <c r="G551" s="69"/>
    </row>
    <row r="552" spans="1:7" ht="15" x14ac:dyDescent="0.25">
      <c r="A552" s="69"/>
      <c r="B552" s="69"/>
      <c r="C552" s="69"/>
      <c r="D552" s="69"/>
      <c r="E552" s="70"/>
      <c r="F552" s="71"/>
      <c r="G552" s="69"/>
    </row>
    <row r="553" spans="1:7" ht="15" x14ac:dyDescent="0.25">
      <c r="A553" s="69"/>
      <c r="B553" s="69"/>
      <c r="C553" s="69"/>
      <c r="D553" s="69"/>
      <c r="E553" s="70"/>
      <c r="F553" s="71"/>
      <c r="G553" s="69"/>
    </row>
    <row r="554" spans="1:7" ht="15" x14ac:dyDescent="0.25">
      <c r="A554" s="69"/>
      <c r="B554" s="69"/>
      <c r="C554" s="69"/>
      <c r="D554" s="69"/>
      <c r="E554" s="70"/>
      <c r="F554" s="71"/>
      <c r="G554" s="69"/>
    </row>
    <row r="555" spans="1:7" ht="15" x14ac:dyDescent="0.25">
      <c r="A555" s="69"/>
      <c r="B555" s="69"/>
      <c r="C555" s="69"/>
      <c r="D555" s="69"/>
      <c r="E555" s="70"/>
      <c r="F555" s="71"/>
      <c r="G555" s="69"/>
    </row>
    <row r="556" spans="1:7" ht="15" x14ac:dyDescent="0.25">
      <c r="A556" s="69"/>
      <c r="B556" s="69"/>
      <c r="C556" s="69"/>
      <c r="D556" s="69"/>
      <c r="E556" s="70"/>
      <c r="F556" s="71"/>
      <c r="G556" s="69"/>
    </row>
    <row r="557" spans="1:7" ht="15" x14ac:dyDescent="0.25">
      <c r="A557" s="69"/>
      <c r="B557" s="69"/>
      <c r="C557" s="69"/>
      <c r="D557" s="69"/>
      <c r="E557" s="70"/>
      <c r="F557" s="71"/>
      <c r="G557" s="69"/>
    </row>
    <row r="558" spans="1:7" ht="15" x14ac:dyDescent="0.25">
      <c r="A558" s="69"/>
      <c r="B558" s="69"/>
      <c r="C558" s="69"/>
      <c r="D558" s="69"/>
      <c r="E558" s="70"/>
      <c r="F558" s="71"/>
      <c r="G558" s="69"/>
    </row>
    <row r="559" spans="1:7" ht="15" x14ac:dyDescent="0.25">
      <c r="A559" s="69"/>
      <c r="B559" s="69"/>
      <c r="C559" s="69"/>
      <c r="D559" s="69"/>
      <c r="E559" s="70"/>
      <c r="F559" s="71"/>
      <c r="G559" s="69"/>
    </row>
    <row r="560" spans="1:7" ht="15" x14ac:dyDescent="0.25">
      <c r="A560" s="69"/>
      <c r="B560" s="69"/>
      <c r="C560" s="69"/>
      <c r="D560" s="69"/>
      <c r="E560" s="70"/>
      <c r="F560" s="71"/>
      <c r="G560" s="69"/>
    </row>
    <row r="561" spans="1:7" ht="15" x14ac:dyDescent="0.25">
      <c r="A561" s="69"/>
      <c r="B561" s="69"/>
      <c r="C561" s="69"/>
      <c r="D561" s="69"/>
      <c r="E561" s="70"/>
      <c r="F561" s="71"/>
      <c r="G561" s="69"/>
    </row>
    <row r="562" spans="1:7" ht="15" x14ac:dyDescent="0.25">
      <c r="A562" s="69"/>
      <c r="B562" s="69"/>
      <c r="C562" s="69"/>
      <c r="D562" s="69"/>
      <c r="E562" s="70"/>
      <c r="F562" s="71"/>
      <c r="G562" s="69"/>
    </row>
    <row r="563" spans="1:7" ht="15" x14ac:dyDescent="0.25">
      <c r="A563" s="69"/>
      <c r="B563" s="69"/>
      <c r="C563" s="69"/>
      <c r="D563" s="69"/>
      <c r="E563" s="70"/>
      <c r="F563" s="71"/>
      <c r="G563" s="69"/>
    </row>
    <row r="564" spans="1:7" ht="15" x14ac:dyDescent="0.25">
      <c r="A564" s="69"/>
      <c r="B564" s="69"/>
      <c r="C564" s="69"/>
      <c r="D564" s="69"/>
      <c r="E564" s="70"/>
      <c r="F564" s="71"/>
      <c r="G564" s="69"/>
    </row>
    <row r="565" spans="1:7" ht="15" x14ac:dyDescent="0.25">
      <c r="A565" s="69"/>
      <c r="B565" s="69"/>
      <c r="C565" s="69"/>
      <c r="D565" s="69"/>
      <c r="E565" s="70"/>
      <c r="F565" s="71"/>
      <c r="G565" s="69"/>
    </row>
    <row r="566" spans="1:7" ht="15" x14ac:dyDescent="0.25">
      <c r="A566" s="69"/>
      <c r="B566" s="69"/>
      <c r="C566" s="69"/>
      <c r="D566" s="69"/>
      <c r="E566" s="70"/>
      <c r="F566" s="71"/>
      <c r="G566" s="69"/>
    </row>
    <row r="567" spans="1:7" ht="15" x14ac:dyDescent="0.25">
      <c r="A567" s="69"/>
      <c r="B567" s="69"/>
      <c r="C567" s="69"/>
      <c r="D567" s="69"/>
      <c r="E567" s="70"/>
      <c r="F567" s="71"/>
      <c r="G567" s="69"/>
    </row>
    <row r="568" spans="1:7" ht="15" x14ac:dyDescent="0.25">
      <c r="A568" s="69"/>
      <c r="B568" s="69"/>
      <c r="C568" s="69"/>
      <c r="D568" s="69"/>
      <c r="E568" s="70"/>
      <c r="F568" s="71"/>
      <c r="G568" s="69"/>
    </row>
    <row r="569" spans="1:7" ht="15" x14ac:dyDescent="0.25">
      <c r="A569" s="69"/>
      <c r="B569" s="69"/>
      <c r="C569" s="69"/>
      <c r="D569" s="69"/>
      <c r="E569" s="70"/>
      <c r="F569" s="71"/>
      <c r="G569" s="69"/>
    </row>
    <row r="570" spans="1:7" ht="15" x14ac:dyDescent="0.25">
      <c r="A570" s="69"/>
      <c r="B570" s="69"/>
      <c r="C570" s="69"/>
      <c r="D570" s="69"/>
      <c r="E570" s="70"/>
      <c r="F570" s="71"/>
      <c r="G570" s="69"/>
    </row>
    <row r="571" spans="1:7" ht="15" x14ac:dyDescent="0.25">
      <c r="A571" s="69"/>
      <c r="B571" s="69"/>
      <c r="C571" s="69"/>
      <c r="D571" s="69"/>
      <c r="E571" s="70"/>
      <c r="F571" s="71"/>
      <c r="G571" s="69"/>
    </row>
    <row r="572" spans="1:7" ht="15" x14ac:dyDescent="0.25">
      <c r="A572" s="69"/>
      <c r="B572" s="69"/>
      <c r="C572" s="69"/>
      <c r="D572" s="69"/>
      <c r="E572" s="70"/>
      <c r="F572" s="71"/>
      <c r="G572" s="69"/>
    </row>
    <row r="573" spans="1:7" ht="15" x14ac:dyDescent="0.25">
      <c r="A573" s="69"/>
      <c r="B573" s="69"/>
      <c r="C573" s="69"/>
      <c r="D573" s="69"/>
      <c r="E573" s="70"/>
      <c r="F573" s="71"/>
      <c r="G573" s="69"/>
    </row>
    <row r="574" spans="1:7" ht="15" x14ac:dyDescent="0.25">
      <c r="A574" s="69"/>
      <c r="B574" s="69"/>
      <c r="C574" s="69"/>
      <c r="D574" s="69"/>
      <c r="E574" s="70"/>
      <c r="F574" s="71"/>
      <c r="G574" s="69"/>
    </row>
    <row r="575" spans="1:7" ht="15" x14ac:dyDescent="0.25">
      <c r="A575" s="69"/>
      <c r="B575" s="69"/>
      <c r="C575" s="69"/>
      <c r="D575" s="69"/>
      <c r="E575" s="70"/>
      <c r="F575" s="71"/>
      <c r="G575" s="69"/>
    </row>
    <row r="576" spans="1:7" ht="15" x14ac:dyDescent="0.25">
      <c r="A576" s="69"/>
      <c r="B576" s="69"/>
      <c r="C576" s="69"/>
      <c r="D576" s="69"/>
      <c r="E576" s="70"/>
      <c r="F576" s="71"/>
      <c r="G576" s="69"/>
    </row>
    <row r="577" spans="1:7" ht="15" x14ac:dyDescent="0.25">
      <c r="A577" s="69"/>
      <c r="B577" s="69"/>
      <c r="C577" s="69"/>
      <c r="D577" s="69"/>
      <c r="E577" s="70"/>
      <c r="F577" s="71"/>
      <c r="G577" s="69"/>
    </row>
    <row r="578" spans="1:7" ht="15" x14ac:dyDescent="0.25">
      <c r="A578" s="69"/>
      <c r="B578" s="69"/>
      <c r="C578" s="69"/>
      <c r="D578" s="69"/>
      <c r="E578" s="70"/>
      <c r="F578" s="71"/>
      <c r="G578" s="69"/>
    </row>
    <row r="579" spans="1:7" ht="15" x14ac:dyDescent="0.25">
      <c r="A579" s="69"/>
      <c r="B579" s="69"/>
      <c r="C579" s="69"/>
      <c r="D579" s="69"/>
      <c r="E579" s="70"/>
      <c r="F579" s="71"/>
      <c r="G579" s="69"/>
    </row>
    <row r="580" spans="1:7" ht="15" x14ac:dyDescent="0.25">
      <c r="A580" s="69"/>
      <c r="B580" s="69"/>
      <c r="C580" s="69"/>
      <c r="D580" s="69"/>
      <c r="E580" s="70"/>
      <c r="F580" s="71"/>
      <c r="G580" s="69"/>
    </row>
    <row r="581" spans="1:7" ht="15" x14ac:dyDescent="0.25">
      <c r="A581" s="69"/>
      <c r="B581" s="69"/>
      <c r="C581" s="69"/>
      <c r="D581" s="69"/>
      <c r="E581" s="70"/>
      <c r="F581" s="71"/>
      <c r="G581" s="69"/>
    </row>
    <row r="582" spans="1:7" ht="15" x14ac:dyDescent="0.25">
      <c r="A582" s="69"/>
      <c r="B582" s="69"/>
      <c r="C582" s="69"/>
      <c r="D582" s="69"/>
      <c r="E582" s="70"/>
      <c r="F582" s="71"/>
      <c r="G582" s="69"/>
    </row>
    <row r="583" spans="1:7" ht="15" x14ac:dyDescent="0.25">
      <c r="A583" s="69"/>
      <c r="B583" s="69"/>
      <c r="C583" s="69"/>
      <c r="D583" s="69"/>
      <c r="E583" s="70"/>
      <c r="F583" s="71"/>
      <c r="G583" s="69"/>
    </row>
    <row r="584" spans="1:7" ht="15" x14ac:dyDescent="0.25">
      <c r="A584" s="69"/>
      <c r="B584" s="69"/>
      <c r="C584" s="69"/>
      <c r="D584" s="69"/>
      <c r="E584" s="70"/>
      <c r="F584" s="71"/>
      <c r="G584" s="69"/>
    </row>
    <row r="585" spans="1:7" ht="15" x14ac:dyDescent="0.25">
      <c r="A585" s="69"/>
      <c r="B585" s="69"/>
      <c r="C585" s="69"/>
      <c r="D585" s="69"/>
      <c r="E585" s="70"/>
      <c r="F585" s="71"/>
      <c r="G585" s="69"/>
    </row>
    <row r="586" spans="1:7" ht="15" x14ac:dyDescent="0.25">
      <c r="A586" s="69"/>
      <c r="B586" s="69"/>
      <c r="C586" s="69"/>
      <c r="D586" s="69"/>
      <c r="E586" s="70"/>
      <c r="F586" s="71"/>
      <c r="G586" s="69"/>
    </row>
    <row r="587" spans="1:7" ht="15" x14ac:dyDescent="0.25">
      <c r="A587" s="69"/>
      <c r="B587" s="69"/>
      <c r="C587" s="69"/>
      <c r="D587" s="69"/>
      <c r="E587" s="70"/>
      <c r="F587" s="71"/>
      <c r="G587" s="69"/>
    </row>
    <row r="588" spans="1:7" ht="15" x14ac:dyDescent="0.25">
      <c r="A588" s="69"/>
      <c r="B588" s="69"/>
      <c r="C588" s="69"/>
      <c r="D588" s="69"/>
      <c r="E588" s="70"/>
      <c r="F588" s="71"/>
      <c r="G588" s="69"/>
    </row>
    <row r="589" spans="1:7" ht="15" x14ac:dyDescent="0.25">
      <c r="A589" s="69"/>
      <c r="B589" s="69"/>
      <c r="C589" s="69"/>
      <c r="D589" s="69"/>
      <c r="E589" s="70"/>
      <c r="F589" s="71"/>
      <c r="G589" s="69"/>
    </row>
    <row r="590" spans="1:7" ht="15" x14ac:dyDescent="0.25">
      <c r="A590" s="69"/>
      <c r="B590" s="69"/>
      <c r="C590" s="69"/>
      <c r="D590" s="69"/>
      <c r="E590" s="70"/>
      <c r="F590" s="71"/>
      <c r="G590" s="69"/>
    </row>
    <row r="591" spans="1:7" ht="15" x14ac:dyDescent="0.25">
      <c r="A591" s="69"/>
      <c r="B591" s="69"/>
      <c r="C591" s="69"/>
      <c r="D591" s="69"/>
      <c r="E591" s="70"/>
      <c r="F591" s="71"/>
      <c r="G591" s="69"/>
    </row>
    <row r="592" spans="1:7" ht="15" x14ac:dyDescent="0.25">
      <c r="A592" s="69"/>
      <c r="B592" s="69"/>
      <c r="C592" s="69"/>
      <c r="D592" s="69"/>
      <c r="E592" s="70"/>
      <c r="F592" s="71"/>
      <c r="G592" s="69"/>
    </row>
    <row r="593" spans="1:7" ht="15" x14ac:dyDescent="0.25">
      <c r="A593" s="69"/>
      <c r="B593" s="69"/>
      <c r="C593" s="69"/>
      <c r="D593" s="69"/>
      <c r="E593" s="70"/>
      <c r="F593" s="71"/>
      <c r="G593" s="69"/>
    </row>
    <row r="594" spans="1:7" ht="15" x14ac:dyDescent="0.25">
      <c r="A594" s="69"/>
      <c r="B594" s="69"/>
      <c r="C594" s="69"/>
      <c r="D594" s="69"/>
      <c r="E594" s="70"/>
      <c r="F594" s="71"/>
      <c r="G594" s="69"/>
    </row>
    <row r="595" spans="1:7" ht="15" x14ac:dyDescent="0.25">
      <c r="A595" s="69"/>
      <c r="B595" s="69"/>
      <c r="C595" s="69"/>
      <c r="D595" s="69"/>
      <c r="E595" s="70"/>
      <c r="F595" s="71"/>
      <c r="G595" s="69"/>
    </row>
    <row r="596" spans="1:7" ht="15" x14ac:dyDescent="0.25">
      <c r="A596" s="69"/>
      <c r="B596" s="69"/>
      <c r="C596" s="69"/>
      <c r="D596" s="69"/>
      <c r="E596" s="70"/>
      <c r="F596" s="71"/>
      <c r="G596" s="69"/>
    </row>
    <row r="597" spans="1:7" ht="15" x14ac:dyDescent="0.25">
      <c r="A597" s="69"/>
      <c r="B597" s="69"/>
      <c r="C597" s="69"/>
      <c r="D597" s="69"/>
      <c r="E597" s="70"/>
      <c r="F597" s="71"/>
      <c r="G597" s="69"/>
    </row>
    <row r="598" spans="1:7" ht="15" x14ac:dyDescent="0.25">
      <c r="A598" s="69"/>
      <c r="B598" s="69"/>
      <c r="C598" s="69"/>
      <c r="D598" s="69"/>
      <c r="E598" s="70"/>
      <c r="F598" s="71"/>
      <c r="G598" s="69"/>
    </row>
    <row r="599" spans="1:7" ht="15" x14ac:dyDescent="0.25">
      <c r="A599" s="69"/>
      <c r="B599" s="69"/>
      <c r="C599" s="69"/>
      <c r="D599" s="69"/>
      <c r="E599" s="70"/>
      <c r="F599" s="71"/>
      <c r="G599" s="69"/>
    </row>
    <row r="600" spans="1:7" ht="15" x14ac:dyDescent="0.25">
      <c r="A600" s="69"/>
      <c r="B600" s="69"/>
      <c r="C600" s="69"/>
      <c r="D600" s="69"/>
      <c r="E600" s="70"/>
      <c r="F600" s="71"/>
      <c r="G600" s="69"/>
    </row>
    <row r="601" spans="1:7" ht="15" x14ac:dyDescent="0.25">
      <c r="A601" s="69"/>
      <c r="B601" s="69"/>
      <c r="C601" s="69"/>
      <c r="D601" s="69"/>
      <c r="E601" s="70"/>
      <c r="F601" s="71"/>
      <c r="G601" s="69"/>
    </row>
    <row r="602" spans="1:7" ht="15" x14ac:dyDescent="0.25">
      <c r="A602" s="69"/>
      <c r="B602" s="69"/>
      <c r="C602" s="69"/>
      <c r="D602" s="69"/>
      <c r="E602" s="70"/>
      <c r="F602" s="71"/>
      <c r="G602" s="69"/>
    </row>
    <row r="603" spans="1:7" ht="15" x14ac:dyDescent="0.25">
      <c r="A603" s="69"/>
      <c r="B603" s="69"/>
      <c r="C603" s="69"/>
      <c r="D603" s="69"/>
      <c r="E603" s="70"/>
      <c r="F603" s="71"/>
      <c r="G603" s="69"/>
    </row>
    <row r="604" spans="1:7" ht="15" x14ac:dyDescent="0.25">
      <c r="A604" s="69"/>
      <c r="B604" s="69"/>
      <c r="C604" s="69"/>
      <c r="D604" s="69"/>
      <c r="E604" s="70"/>
      <c r="F604" s="71"/>
      <c r="G604" s="69"/>
    </row>
    <row r="605" spans="1:7" ht="15" x14ac:dyDescent="0.25">
      <c r="A605" s="69"/>
      <c r="B605" s="69"/>
      <c r="C605" s="69"/>
      <c r="D605" s="69"/>
      <c r="E605" s="70"/>
      <c r="F605" s="71"/>
      <c r="G605" s="69"/>
    </row>
    <row r="606" spans="1:7" ht="15" x14ac:dyDescent="0.25">
      <c r="A606" s="69"/>
      <c r="B606" s="69"/>
      <c r="C606" s="69"/>
      <c r="D606" s="69"/>
      <c r="E606" s="70"/>
      <c r="F606" s="71"/>
      <c r="G606" s="69"/>
    </row>
    <row r="607" spans="1:7" ht="15" x14ac:dyDescent="0.25">
      <c r="A607" s="69"/>
      <c r="B607" s="69"/>
      <c r="C607" s="69"/>
      <c r="D607" s="69"/>
      <c r="E607" s="70"/>
      <c r="F607" s="71"/>
      <c r="G607" s="69"/>
    </row>
    <row r="608" spans="1:7" ht="15" x14ac:dyDescent="0.25">
      <c r="A608" s="69"/>
      <c r="B608" s="69"/>
      <c r="C608" s="69"/>
      <c r="D608" s="69"/>
      <c r="E608" s="70"/>
      <c r="F608" s="71"/>
      <c r="G608" s="69"/>
    </row>
    <row r="609" spans="1:7" ht="15" x14ac:dyDescent="0.25">
      <c r="A609" s="69"/>
      <c r="B609" s="69"/>
      <c r="C609" s="69"/>
      <c r="D609" s="69"/>
      <c r="E609" s="70"/>
      <c r="F609" s="71"/>
      <c r="G609" s="69"/>
    </row>
    <row r="610" spans="1:7" ht="15" x14ac:dyDescent="0.25">
      <c r="A610" s="69"/>
      <c r="B610" s="69"/>
      <c r="C610" s="69"/>
      <c r="D610" s="69"/>
      <c r="E610" s="70"/>
      <c r="F610" s="71"/>
      <c r="G610" s="69"/>
    </row>
    <row r="611" spans="1:7" ht="15" x14ac:dyDescent="0.25">
      <c r="A611" s="69"/>
      <c r="B611" s="69"/>
      <c r="C611" s="69"/>
      <c r="D611" s="69"/>
      <c r="E611" s="70"/>
      <c r="F611" s="71"/>
      <c r="G611" s="69"/>
    </row>
    <row r="612" spans="1:7" ht="15" x14ac:dyDescent="0.25">
      <c r="A612" s="69"/>
      <c r="B612" s="69"/>
      <c r="C612" s="69"/>
      <c r="D612" s="69"/>
      <c r="E612" s="70"/>
      <c r="F612" s="71"/>
      <c r="G612" s="69"/>
    </row>
    <row r="613" spans="1:7" ht="15" x14ac:dyDescent="0.25">
      <c r="A613" s="69"/>
      <c r="B613" s="69"/>
      <c r="C613" s="69"/>
      <c r="D613" s="69"/>
      <c r="E613" s="70"/>
      <c r="F613" s="71"/>
      <c r="G613" s="69"/>
    </row>
    <row r="614" spans="1:7" ht="15" x14ac:dyDescent="0.25">
      <c r="A614" s="69"/>
      <c r="B614" s="69"/>
      <c r="C614" s="69"/>
      <c r="D614" s="69"/>
      <c r="E614" s="70"/>
      <c r="F614" s="71"/>
      <c r="G614" s="69"/>
    </row>
    <row r="615" spans="1:7" ht="15" x14ac:dyDescent="0.25">
      <c r="A615" s="69"/>
      <c r="B615" s="69"/>
      <c r="C615" s="69"/>
      <c r="D615" s="69"/>
      <c r="E615" s="70"/>
      <c r="F615" s="71"/>
      <c r="G615" s="69"/>
    </row>
    <row r="616" spans="1:7" ht="15" x14ac:dyDescent="0.25">
      <c r="A616" s="69"/>
      <c r="B616" s="69"/>
      <c r="C616" s="69"/>
      <c r="D616" s="69"/>
      <c r="E616" s="70"/>
      <c r="F616" s="71"/>
      <c r="G616" s="69"/>
    </row>
    <row r="617" spans="1:7" ht="15" x14ac:dyDescent="0.25">
      <c r="A617" s="69"/>
      <c r="B617" s="69"/>
      <c r="C617" s="69"/>
      <c r="D617" s="69"/>
      <c r="E617" s="70"/>
      <c r="F617" s="71"/>
      <c r="G617" s="69"/>
    </row>
    <row r="618" spans="1:7" ht="15" x14ac:dyDescent="0.25">
      <c r="A618" s="69"/>
      <c r="B618" s="69"/>
      <c r="C618" s="69"/>
      <c r="D618" s="69"/>
      <c r="E618" s="70"/>
      <c r="F618" s="71"/>
      <c r="G618" s="69"/>
    </row>
    <row r="619" spans="1:7" ht="15" x14ac:dyDescent="0.25">
      <c r="A619" s="69"/>
      <c r="B619" s="69"/>
      <c r="C619" s="69"/>
      <c r="D619" s="69"/>
      <c r="E619" s="70"/>
      <c r="F619" s="71"/>
      <c r="G619" s="69"/>
    </row>
    <row r="620" spans="1:7" ht="15" x14ac:dyDescent="0.25">
      <c r="A620" s="69"/>
      <c r="B620" s="69"/>
      <c r="C620" s="69"/>
      <c r="D620" s="69"/>
      <c r="E620" s="70"/>
      <c r="F620" s="71"/>
      <c r="G620" s="69"/>
    </row>
    <row r="621" spans="1:7" ht="15" x14ac:dyDescent="0.25">
      <c r="A621" s="69"/>
      <c r="B621" s="69"/>
      <c r="C621" s="69"/>
      <c r="D621" s="69"/>
      <c r="E621" s="70"/>
      <c r="F621" s="71"/>
      <c r="G621" s="69"/>
    </row>
    <row r="622" spans="1:7" ht="15" x14ac:dyDescent="0.25">
      <c r="A622" s="69"/>
      <c r="B622" s="69"/>
      <c r="C622" s="69"/>
      <c r="D622" s="69"/>
      <c r="E622" s="70"/>
      <c r="F622" s="71"/>
      <c r="G622" s="69"/>
    </row>
    <row r="623" spans="1:7" ht="15" x14ac:dyDescent="0.25">
      <c r="A623" s="69"/>
      <c r="B623" s="69"/>
      <c r="C623" s="69"/>
      <c r="D623" s="69"/>
      <c r="E623" s="70"/>
      <c r="F623" s="71"/>
      <c r="G623" s="69"/>
    </row>
    <row r="624" spans="1:7" ht="15" x14ac:dyDescent="0.25">
      <c r="A624" s="69"/>
      <c r="B624" s="69"/>
      <c r="C624" s="69"/>
      <c r="D624" s="69"/>
      <c r="E624" s="70"/>
      <c r="F624" s="71"/>
      <c r="G624" s="69"/>
    </row>
    <row r="625" spans="1:7" ht="15" x14ac:dyDescent="0.25">
      <c r="A625" s="69"/>
      <c r="B625" s="69"/>
      <c r="C625" s="69"/>
      <c r="D625" s="69"/>
      <c r="E625" s="70"/>
      <c r="F625" s="71"/>
      <c r="G625" s="69"/>
    </row>
    <row r="626" spans="1:7" ht="15" x14ac:dyDescent="0.25">
      <c r="A626" s="69"/>
      <c r="B626" s="69"/>
      <c r="C626" s="69"/>
      <c r="D626" s="69"/>
      <c r="E626" s="70"/>
      <c r="F626" s="71"/>
      <c r="G626" s="69"/>
    </row>
    <row r="627" spans="1:7" ht="15" x14ac:dyDescent="0.25">
      <c r="A627" s="69"/>
      <c r="B627" s="69"/>
      <c r="C627" s="69"/>
      <c r="D627" s="69"/>
      <c r="E627" s="70"/>
      <c r="F627" s="71"/>
      <c r="G627" s="69"/>
    </row>
    <row r="628" spans="1:7" ht="15" x14ac:dyDescent="0.25">
      <c r="A628" s="69"/>
      <c r="B628" s="69"/>
      <c r="C628" s="69"/>
      <c r="D628" s="69"/>
      <c r="E628" s="70"/>
      <c r="F628" s="71"/>
      <c r="G628" s="69"/>
    </row>
    <row r="629" spans="1:7" ht="15" x14ac:dyDescent="0.25">
      <c r="A629" s="69"/>
      <c r="B629" s="69"/>
      <c r="C629" s="69"/>
      <c r="D629" s="69"/>
      <c r="E629" s="70"/>
      <c r="F629" s="71"/>
      <c r="G629" s="69"/>
    </row>
    <row r="630" spans="1:7" ht="15" x14ac:dyDescent="0.25">
      <c r="A630" s="69"/>
      <c r="B630" s="69"/>
      <c r="C630" s="69"/>
      <c r="D630" s="69"/>
      <c r="E630" s="70"/>
      <c r="F630" s="71"/>
      <c r="G630" s="69"/>
    </row>
    <row r="631" spans="1:7" ht="15" x14ac:dyDescent="0.25">
      <c r="A631" s="69"/>
      <c r="B631" s="69"/>
      <c r="C631" s="69"/>
      <c r="D631" s="69"/>
      <c r="E631" s="70"/>
      <c r="F631" s="71"/>
      <c r="G631" s="69"/>
    </row>
    <row r="632" spans="1:7" ht="15" x14ac:dyDescent="0.25">
      <c r="A632" s="69"/>
      <c r="B632" s="69"/>
      <c r="C632" s="69"/>
      <c r="D632" s="69"/>
      <c r="E632" s="70"/>
      <c r="F632" s="71"/>
      <c r="G632" s="69"/>
    </row>
    <row r="633" spans="1:7" ht="15" x14ac:dyDescent="0.25">
      <c r="A633" s="69"/>
      <c r="B633" s="69"/>
      <c r="C633" s="69"/>
      <c r="D633" s="69"/>
      <c r="E633" s="70"/>
      <c r="F633" s="71"/>
      <c r="G633" s="69"/>
    </row>
    <row r="634" spans="1:7" ht="15" x14ac:dyDescent="0.25">
      <c r="A634" s="69"/>
      <c r="B634" s="69"/>
      <c r="C634" s="69"/>
      <c r="D634" s="69"/>
      <c r="E634" s="70"/>
      <c r="F634" s="71"/>
      <c r="G634" s="69"/>
    </row>
    <row r="635" spans="1:7" ht="15" x14ac:dyDescent="0.25">
      <c r="A635" s="69"/>
      <c r="B635" s="69"/>
      <c r="C635" s="69"/>
      <c r="D635" s="69"/>
      <c r="E635" s="70"/>
      <c r="F635" s="71"/>
      <c r="G635" s="69"/>
    </row>
    <row r="636" spans="1:7" ht="15" x14ac:dyDescent="0.25">
      <c r="A636" s="69"/>
      <c r="B636" s="69"/>
      <c r="C636" s="69"/>
      <c r="D636" s="69"/>
      <c r="E636" s="70"/>
      <c r="F636" s="71"/>
      <c r="G636" s="69"/>
    </row>
    <row r="637" spans="1:7" ht="15" x14ac:dyDescent="0.25">
      <c r="A637" s="69"/>
      <c r="B637" s="69"/>
      <c r="C637" s="69"/>
      <c r="D637" s="69"/>
      <c r="E637" s="70"/>
      <c r="F637" s="71"/>
      <c r="G637" s="69"/>
    </row>
    <row r="638" spans="1:7" ht="15" x14ac:dyDescent="0.25">
      <c r="A638" s="69"/>
      <c r="B638" s="69"/>
      <c r="C638" s="69"/>
      <c r="D638" s="69"/>
      <c r="E638" s="70"/>
      <c r="F638" s="71"/>
      <c r="G638" s="69"/>
    </row>
    <row r="639" spans="1:7" ht="15" x14ac:dyDescent="0.25">
      <c r="A639" s="69"/>
      <c r="B639" s="69"/>
      <c r="C639" s="69"/>
      <c r="D639" s="69"/>
      <c r="E639" s="70"/>
      <c r="F639" s="71"/>
      <c r="G639" s="69"/>
    </row>
    <row r="640" spans="1:7" ht="15" x14ac:dyDescent="0.25">
      <c r="A640" s="69"/>
      <c r="B640" s="69"/>
      <c r="C640" s="69"/>
      <c r="D640" s="69"/>
      <c r="E640" s="70"/>
      <c r="F640" s="71"/>
      <c r="G640" s="69"/>
    </row>
    <row r="641" spans="1:7" ht="15" x14ac:dyDescent="0.25">
      <c r="A641" s="69"/>
      <c r="B641" s="69"/>
      <c r="C641" s="69"/>
      <c r="D641" s="69"/>
      <c r="E641" s="70"/>
      <c r="F641" s="71"/>
      <c r="G641" s="69"/>
    </row>
    <row r="642" spans="1:7" ht="15" x14ac:dyDescent="0.25">
      <c r="A642" s="69"/>
      <c r="B642" s="69"/>
      <c r="C642" s="69"/>
      <c r="D642" s="69"/>
      <c r="E642" s="70"/>
      <c r="F642" s="71"/>
      <c r="G642" s="69"/>
    </row>
    <row r="643" spans="1:7" ht="15" x14ac:dyDescent="0.25">
      <c r="A643" s="69"/>
      <c r="B643" s="69"/>
      <c r="C643" s="69"/>
      <c r="D643" s="69"/>
      <c r="E643" s="70"/>
      <c r="F643" s="71"/>
      <c r="G643" s="69"/>
    </row>
    <row r="644" spans="1:7" ht="15" x14ac:dyDescent="0.25">
      <c r="A644" s="69"/>
      <c r="B644" s="69"/>
      <c r="C644" s="69"/>
      <c r="D644" s="69"/>
      <c r="E644" s="70"/>
      <c r="F644" s="71"/>
      <c r="G644" s="69"/>
    </row>
    <row r="645" spans="1:7" ht="15" x14ac:dyDescent="0.25">
      <c r="A645" s="69"/>
      <c r="B645" s="69"/>
      <c r="C645" s="69"/>
      <c r="D645" s="69"/>
      <c r="E645" s="70"/>
      <c r="F645" s="71"/>
      <c r="G645" s="69"/>
    </row>
    <row r="646" spans="1:7" ht="15" x14ac:dyDescent="0.25">
      <c r="A646" s="69"/>
      <c r="B646" s="69"/>
      <c r="C646" s="69"/>
      <c r="D646" s="69"/>
      <c r="E646" s="70"/>
      <c r="F646" s="71"/>
      <c r="G646" s="69"/>
    </row>
    <row r="647" spans="1:7" ht="15" x14ac:dyDescent="0.25">
      <c r="A647" s="69"/>
      <c r="B647" s="69"/>
      <c r="C647" s="69"/>
      <c r="D647" s="69"/>
      <c r="E647" s="70"/>
      <c r="F647" s="71"/>
      <c r="G647" s="69"/>
    </row>
    <row r="648" spans="1:7" ht="15" x14ac:dyDescent="0.25">
      <c r="A648" s="69"/>
      <c r="B648" s="69"/>
      <c r="C648" s="69"/>
      <c r="D648" s="69"/>
      <c r="E648" s="70"/>
      <c r="F648" s="71"/>
      <c r="G648" s="69"/>
    </row>
    <row r="649" spans="1:7" ht="15" x14ac:dyDescent="0.25">
      <c r="A649" s="69"/>
      <c r="B649" s="69"/>
      <c r="C649" s="69"/>
      <c r="D649" s="69"/>
      <c r="E649" s="70"/>
      <c r="F649" s="71"/>
      <c r="G649" s="69"/>
    </row>
    <row r="650" spans="1:7" ht="15" x14ac:dyDescent="0.25">
      <c r="A650" s="69"/>
      <c r="B650" s="69"/>
      <c r="C650" s="69"/>
      <c r="D650" s="69"/>
      <c r="E650" s="70"/>
      <c r="F650" s="71"/>
      <c r="G650" s="69"/>
    </row>
    <row r="651" spans="1:7" ht="15" x14ac:dyDescent="0.25">
      <c r="A651" s="69"/>
      <c r="B651" s="69"/>
      <c r="C651" s="69"/>
      <c r="D651" s="69"/>
      <c r="E651" s="70"/>
      <c r="F651" s="71"/>
      <c r="G651" s="69"/>
    </row>
    <row r="652" spans="1:7" ht="15" x14ac:dyDescent="0.25">
      <c r="A652" s="69"/>
      <c r="B652" s="69"/>
      <c r="C652" s="69"/>
      <c r="D652" s="69"/>
      <c r="E652" s="70"/>
      <c r="F652" s="71"/>
      <c r="G652" s="69"/>
    </row>
    <row r="653" spans="1:7" ht="15" x14ac:dyDescent="0.25">
      <c r="A653" s="69"/>
      <c r="B653" s="69"/>
      <c r="C653" s="69"/>
      <c r="D653" s="69"/>
      <c r="E653" s="70"/>
      <c r="F653" s="71"/>
      <c r="G653" s="69"/>
    </row>
    <row r="654" spans="1:7" ht="15" x14ac:dyDescent="0.25">
      <c r="A654" s="69"/>
      <c r="B654" s="69"/>
      <c r="C654" s="69"/>
      <c r="D654" s="69"/>
      <c r="E654" s="70"/>
      <c r="F654" s="71"/>
      <c r="G654" s="69"/>
    </row>
    <row r="655" spans="1:7" ht="15" x14ac:dyDescent="0.25">
      <c r="A655" s="69"/>
      <c r="B655" s="69"/>
      <c r="C655" s="69"/>
      <c r="D655" s="69"/>
      <c r="E655" s="70"/>
      <c r="F655" s="71"/>
      <c r="G655" s="69"/>
    </row>
    <row r="656" spans="1:7" ht="15" x14ac:dyDescent="0.25">
      <c r="A656" s="69"/>
      <c r="B656" s="69"/>
      <c r="C656" s="69"/>
      <c r="D656" s="69"/>
      <c r="E656" s="70"/>
      <c r="F656" s="71"/>
      <c r="G656" s="69"/>
    </row>
    <row r="657" spans="1:7" ht="15" x14ac:dyDescent="0.25">
      <c r="A657" s="69"/>
      <c r="B657" s="69"/>
      <c r="C657" s="69"/>
      <c r="D657" s="69"/>
      <c r="E657" s="70"/>
      <c r="F657" s="71"/>
      <c r="G657" s="69"/>
    </row>
    <row r="658" spans="1:7" ht="15" x14ac:dyDescent="0.25">
      <c r="A658" s="69"/>
      <c r="B658" s="69"/>
      <c r="C658" s="69"/>
      <c r="D658" s="69"/>
      <c r="E658" s="70"/>
      <c r="F658" s="71"/>
      <c r="G658" s="69"/>
    </row>
    <row r="659" spans="1:7" ht="15" x14ac:dyDescent="0.25">
      <c r="A659" s="69"/>
      <c r="B659" s="69"/>
      <c r="C659" s="69"/>
      <c r="D659" s="69"/>
      <c r="E659" s="70"/>
      <c r="F659" s="71"/>
      <c r="G659" s="69"/>
    </row>
    <row r="660" spans="1:7" ht="15" x14ac:dyDescent="0.25">
      <c r="A660" s="69"/>
      <c r="B660" s="69"/>
      <c r="C660" s="69"/>
      <c r="D660" s="69"/>
      <c r="E660" s="70"/>
      <c r="F660" s="71"/>
      <c r="G660" s="69"/>
    </row>
    <row r="661" spans="1:7" ht="15" x14ac:dyDescent="0.25">
      <c r="A661" s="69"/>
      <c r="B661" s="69"/>
      <c r="C661" s="69"/>
      <c r="D661" s="69"/>
      <c r="E661" s="70"/>
      <c r="F661" s="71"/>
      <c r="G661" s="69"/>
    </row>
    <row r="662" spans="1:7" ht="15" x14ac:dyDescent="0.25">
      <c r="A662" s="69"/>
      <c r="B662" s="69"/>
      <c r="C662" s="69"/>
      <c r="D662" s="69"/>
      <c r="E662" s="70"/>
      <c r="F662" s="71"/>
      <c r="G662" s="69"/>
    </row>
    <row r="663" spans="1:7" ht="15" x14ac:dyDescent="0.25">
      <c r="A663" s="69"/>
      <c r="B663" s="69"/>
      <c r="C663" s="69"/>
      <c r="D663" s="69"/>
      <c r="E663" s="70"/>
      <c r="F663" s="71"/>
      <c r="G663" s="69"/>
    </row>
    <row r="664" spans="1:7" ht="15" x14ac:dyDescent="0.25">
      <c r="A664" s="69"/>
      <c r="B664" s="69"/>
      <c r="C664" s="69"/>
      <c r="D664" s="69"/>
      <c r="E664" s="70"/>
      <c r="F664" s="71"/>
      <c r="G664" s="69"/>
    </row>
    <row r="665" spans="1:7" ht="15" x14ac:dyDescent="0.25">
      <c r="A665" s="69"/>
      <c r="B665" s="69"/>
      <c r="C665" s="69"/>
      <c r="D665" s="69"/>
      <c r="E665" s="70"/>
      <c r="F665" s="71"/>
      <c r="G665" s="69"/>
    </row>
    <row r="666" spans="1:7" ht="15" x14ac:dyDescent="0.25">
      <c r="A666" s="69"/>
      <c r="B666" s="69"/>
      <c r="C666" s="69"/>
      <c r="D666" s="69"/>
      <c r="E666" s="70"/>
      <c r="F666" s="71"/>
      <c r="G666" s="69"/>
    </row>
    <row r="667" spans="1:7" ht="15" x14ac:dyDescent="0.25">
      <c r="A667" s="69"/>
      <c r="B667" s="69"/>
      <c r="C667" s="69"/>
      <c r="D667" s="69"/>
      <c r="E667" s="70"/>
      <c r="F667" s="71"/>
      <c r="G667" s="69"/>
    </row>
    <row r="668" spans="1:7" ht="15" x14ac:dyDescent="0.25">
      <c r="A668" s="69"/>
      <c r="B668" s="69"/>
      <c r="C668" s="69"/>
      <c r="D668" s="69"/>
      <c r="E668" s="70"/>
      <c r="F668" s="71"/>
      <c r="G668" s="69"/>
    </row>
    <row r="669" spans="1:7" ht="15" x14ac:dyDescent="0.25">
      <c r="A669" s="69"/>
      <c r="B669" s="69"/>
      <c r="C669" s="69"/>
      <c r="D669" s="69"/>
      <c r="E669" s="70"/>
      <c r="F669" s="71"/>
      <c r="G669" s="69"/>
    </row>
    <row r="670" spans="1:7" ht="15" x14ac:dyDescent="0.25">
      <c r="A670" s="69"/>
      <c r="B670" s="69"/>
      <c r="C670" s="69"/>
      <c r="D670" s="69"/>
      <c r="E670" s="70"/>
      <c r="F670" s="71"/>
      <c r="G670" s="69"/>
    </row>
    <row r="671" spans="1:7" ht="15" x14ac:dyDescent="0.25">
      <c r="A671" s="69"/>
      <c r="B671" s="69"/>
      <c r="C671" s="69"/>
      <c r="D671" s="69"/>
      <c r="E671" s="70"/>
      <c r="F671" s="71"/>
      <c r="G671" s="69"/>
    </row>
    <row r="672" spans="1:7" ht="15" x14ac:dyDescent="0.25">
      <c r="A672" s="69"/>
      <c r="B672" s="69"/>
      <c r="C672" s="69"/>
      <c r="D672" s="69"/>
      <c r="E672" s="70"/>
      <c r="F672" s="71"/>
      <c r="G672" s="69"/>
    </row>
    <row r="673" spans="1:7" ht="15" x14ac:dyDescent="0.25">
      <c r="A673" s="69"/>
      <c r="B673" s="69"/>
      <c r="C673" s="69"/>
      <c r="D673" s="69"/>
      <c r="E673" s="70"/>
      <c r="F673" s="71"/>
      <c r="G673" s="69"/>
    </row>
    <row r="674" spans="1:7" ht="15" x14ac:dyDescent="0.25">
      <c r="A674" s="69"/>
      <c r="B674" s="69"/>
      <c r="C674" s="69"/>
      <c r="D674" s="69"/>
      <c r="E674" s="70"/>
      <c r="F674" s="71"/>
      <c r="G674" s="69"/>
    </row>
    <row r="675" spans="1:7" ht="15" x14ac:dyDescent="0.25">
      <c r="A675" s="69"/>
      <c r="B675" s="69"/>
      <c r="C675" s="69"/>
      <c r="D675" s="69"/>
      <c r="E675" s="70"/>
      <c r="F675" s="71"/>
      <c r="G675" s="69"/>
    </row>
    <row r="676" spans="1:7" ht="15" x14ac:dyDescent="0.25">
      <c r="A676" s="69"/>
      <c r="B676" s="69"/>
      <c r="C676" s="69"/>
      <c r="D676" s="69"/>
      <c r="E676" s="70"/>
      <c r="F676" s="71"/>
      <c r="G676" s="69"/>
    </row>
    <row r="677" spans="1:7" ht="15" x14ac:dyDescent="0.25">
      <c r="A677" s="69"/>
      <c r="B677" s="69"/>
      <c r="C677" s="69"/>
      <c r="D677" s="69"/>
      <c r="E677" s="70"/>
      <c r="F677" s="71"/>
      <c r="G677" s="69"/>
    </row>
    <row r="678" spans="1:7" ht="15" x14ac:dyDescent="0.25">
      <c r="A678" s="69"/>
      <c r="B678" s="69"/>
      <c r="C678" s="69"/>
      <c r="D678" s="69"/>
      <c r="E678" s="70"/>
      <c r="F678" s="71"/>
      <c r="G678" s="69"/>
    </row>
    <row r="679" spans="1:7" ht="15" x14ac:dyDescent="0.25">
      <c r="A679" s="69"/>
      <c r="B679" s="69"/>
      <c r="C679" s="69"/>
      <c r="D679" s="69"/>
      <c r="E679" s="70"/>
      <c r="F679" s="71"/>
      <c r="G679" s="69"/>
    </row>
    <row r="680" spans="1:7" ht="15" x14ac:dyDescent="0.25">
      <c r="A680" s="69"/>
      <c r="B680" s="69"/>
      <c r="C680" s="69"/>
      <c r="D680" s="69"/>
      <c r="E680" s="70"/>
      <c r="F680" s="71"/>
      <c r="G680" s="69"/>
    </row>
    <row r="681" spans="1:7" ht="15" x14ac:dyDescent="0.25">
      <c r="A681" s="69"/>
      <c r="B681" s="69"/>
      <c r="C681" s="69"/>
      <c r="D681" s="69"/>
      <c r="E681" s="70"/>
      <c r="F681" s="71"/>
      <c r="G681" s="69"/>
    </row>
    <row r="682" spans="1:7" ht="15" x14ac:dyDescent="0.25">
      <c r="A682" s="69"/>
      <c r="B682" s="69"/>
      <c r="C682" s="69"/>
      <c r="D682" s="69"/>
      <c r="E682" s="70"/>
      <c r="F682" s="71"/>
      <c r="G682" s="69"/>
    </row>
    <row r="683" spans="1:7" ht="15" x14ac:dyDescent="0.25">
      <c r="A683" s="69"/>
      <c r="B683" s="69"/>
      <c r="C683" s="69"/>
      <c r="D683" s="69"/>
      <c r="E683" s="70"/>
      <c r="F683" s="71"/>
      <c r="G683" s="69"/>
    </row>
    <row r="684" spans="1:7" ht="15" x14ac:dyDescent="0.25">
      <c r="A684" s="69"/>
      <c r="B684" s="69"/>
      <c r="C684" s="69"/>
      <c r="D684" s="69"/>
      <c r="E684" s="70"/>
      <c r="F684" s="71"/>
      <c r="G684" s="69"/>
    </row>
    <row r="685" spans="1:7" ht="15" x14ac:dyDescent="0.25">
      <c r="A685" s="69"/>
      <c r="B685" s="69"/>
      <c r="C685" s="69"/>
      <c r="D685" s="69"/>
      <c r="E685" s="70"/>
      <c r="F685" s="71"/>
      <c r="G685" s="69"/>
    </row>
    <row r="686" spans="1:7" ht="15" x14ac:dyDescent="0.25">
      <c r="A686" s="69"/>
      <c r="B686" s="69"/>
      <c r="C686" s="69"/>
      <c r="D686" s="69"/>
      <c r="E686" s="70"/>
      <c r="F686" s="71"/>
      <c r="G686" s="69"/>
    </row>
    <row r="687" spans="1:7" ht="15" x14ac:dyDescent="0.25">
      <c r="A687" s="69"/>
      <c r="B687" s="69"/>
      <c r="C687" s="69"/>
      <c r="D687" s="69"/>
      <c r="E687" s="70"/>
      <c r="F687" s="71"/>
      <c r="G687" s="69"/>
    </row>
    <row r="688" spans="1:7" ht="15" x14ac:dyDescent="0.25">
      <c r="A688" s="69"/>
      <c r="B688" s="69"/>
      <c r="C688" s="69"/>
      <c r="D688" s="69"/>
      <c r="E688" s="70"/>
      <c r="F688" s="71"/>
      <c r="G688" s="69"/>
    </row>
    <row r="689" spans="1:7" ht="15" x14ac:dyDescent="0.25">
      <c r="A689" s="69"/>
      <c r="B689" s="69"/>
      <c r="C689" s="69"/>
      <c r="D689" s="69"/>
      <c r="E689" s="70"/>
      <c r="F689" s="71"/>
      <c r="G689" s="69"/>
    </row>
    <row r="690" spans="1:7" ht="15" x14ac:dyDescent="0.25">
      <c r="A690" s="69"/>
      <c r="B690" s="69"/>
      <c r="C690" s="69"/>
      <c r="D690" s="69"/>
      <c r="E690" s="70"/>
      <c r="F690" s="71"/>
      <c r="G690" s="69"/>
    </row>
    <row r="691" spans="1:7" ht="15" x14ac:dyDescent="0.25">
      <c r="A691" s="69"/>
      <c r="B691" s="69"/>
      <c r="C691" s="69"/>
      <c r="D691" s="69"/>
      <c r="E691" s="70"/>
      <c r="F691" s="71"/>
      <c r="G691" s="69"/>
    </row>
    <row r="692" spans="1:7" ht="15" x14ac:dyDescent="0.25">
      <c r="A692" s="69"/>
      <c r="B692" s="69"/>
      <c r="C692" s="69"/>
      <c r="D692" s="69"/>
      <c r="E692" s="70"/>
      <c r="F692" s="71"/>
      <c r="G692" s="69"/>
    </row>
    <row r="693" spans="1:7" ht="15" x14ac:dyDescent="0.25">
      <c r="A693" s="69"/>
      <c r="B693" s="69"/>
      <c r="C693" s="69"/>
      <c r="D693" s="69"/>
      <c r="E693" s="70"/>
      <c r="F693" s="71"/>
      <c r="G693" s="69"/>
    </row>
    <row r="694" spans="1:7" ht="15" x14ac:dyDescent="0.25">
      <c r="A694" s="69"/>
      <c r="B694" s="69"/>
      <c r="C694" s="69"/>
      <c r="D694" s="69"/>
      <c r="E694" s="70"/>
      <c r="F694" s="71"/>
      <c r="G694" s="69"/>
    </row>
    <row r="695" spans="1:7" ht="15" x14ac:dyDescent="0.25">
      <c r="A695" s="69"/>
      <c r="B695" s="69"/>
      <c r="C695" s="69"/>
      <c r="D695" s="69"/>
      <c r="E695" s="70"/>
      <c r="F695" s="71"/>
      <c r="G695" s="69"/>
    </row>
    <row r="696" spans="1:7" ht="15" x14ac:dyDescent="0.25">
      <c r="A696" s="69"/>
      <c r="B696" s="69"/>
      <c r="C696" s="69"/>
      <c r="D696" s="69"/>
      <c r="E696" s="70"/>
      <c r="F696" s="71"/>
      <c r="G696" s="69"/>
    </row>
    <row r="697" spans="1:7" ht="15" x14ac:dyDescent="0.25">
      <c r="A697" s="69"/>
      <c r="B697" s="69"/>
      <c r="C697" s="69"/>
      <c r="D697" s="69"/>
      <c r="E697" s="70"/>
      <c r="F697" s="71"/>
      <c r="G697" s="69"/>
    </row>
    <row r="698" spans="1:7" ht="15" x14ac:dyDescent="0.25">
      <c r="A698" s="69"/>
      <c r="B698" s="69"/>
      <c r="C698" s="69"/>
      <c r="D698" s="69"/>
      <c r="E698" s="70"/>
      <c r="F698" s="71"/>
      <c r="G698" s="69"/>
    </row>
    <row r="699" spans="1:7" ht="15" x14ac:dyDescent="0.25">
      <c r="A699" s="69"/>
      <c r="B699" s="69"/>
      <c r="C699" s="69"/>
      <c r="D699" s="69"/>
      <c r="E699" s="70"/>
      <c r="F699" s="71"/>
      <c r="G699" s="69"/>
    </row>
    <row r="700" spans="1:7" ht="15" x14ac:dyDescent="0.25">
      <c r="A700" s="69"/>
      <c r="B700" s="69"/>
      <c r="C700" s="69"/>
      <c r="D700" s="69"/>
      <c r="E700" s="70"/>
      <c r="F700" s="71"/>
      <c r="G700" s="69"/>
    </row>
    <row r="701" spans="1:7" ht="15" x14ac:dyDescent="0.25">
      <c r="A701" s="69"/>
      <c r="B701" s="69"/>
      <c r="C701" s="69"/>
      <c r="D701" s="69"/>
      <c r="E701" s="70"/>
      <c r="F701" s="71"/>
      <c r="G701" s="69"/>
    </row>
    <row r="702" spans="1:7" ht="15" x14ac:dyDescent="0.25">
      <c r="A702" s="69"/>
      <c r="B702" s="69"/>
      <c r="C702" s="69"/>
      <c r="D702" s="69"/>
      <c r="E702" s="70"/>
      <c r="F702" s="71"/>
      <c r="G702" s="69"/>
    </row>
    <row r="703" spans="1:7" ht="15" x14ac:dyDescent="0.25">
      <c r="A703" s="69"/>
      <c r="B703" s="69"/>
      <c r="C703" s="69"/>
      <c r="D703" s="69"/>
      <c r="E703" s="70"/>
      <c r="F703" s="71"/>
      <c r="G703" s="69"/>
    </row>
    <row r="704" spans="1:7" ht="15" x14ac:dyDescent="0.25">
      <c r="A704" s="69"/>
      <c r="B704" s="69"/>
      <c r="C704" s="69"/>
      <c r="D704" s="69"/>
      <c r="E704" s="70"/>
      <c r="F704" s="71"/>
      <c r="G704" s="69"/>
    </row>
    <row r="705" spans="1:7" ht="15" x14ac:dyDescent="0.25">
      <c r="A705" s="69"/>
      <c r="B705" s="69"/>
      <c r="C705" s="69"/>
      <c r="D705" s="69"/>
      <c r="E705" s="70"/>
      <c r="F705" s="71"/>
      <c r="G705" s="69"/>
    </row>
    <row r="706" spans="1:7" ht="15" x14ac:dyDescent="0.25">
      <c r="A706" s="69"/>
      <c r="B706" s="69"/>
      <c r="C706" s="69"/>
      <c r="D706" s="69"/>
      <c r="E706" s="70"/>
      <c r="F706" s="71"/>
      <c r="G706" s="69"/>
    </row>
    <row r="707" spans="1:7" ht="15" x14ac:dyDescent="0.25">
      <c r="A707" s="69"/>
      <c r="B707" s="69"/>
      <c r="C707" s="69"/>
      <c r="D707" s="69"/>
      <c r="E707" s="70"/>
      <c r="F707" s="71"/>
      <c r="G707" s="69"/>
    </row>
    <row r="708" spans="1:7" ht="15" x14ac:dyDescent="0.25">
      <c r="A708" s="69"/>
      <c r="B708" s="69"/>
      <c r="C708" s="69"/>
      <c r="D708" s="69"/>
      <c r="E708" s="70"/>
      <c r="F708" s="71"/>
      <c r="G708" s="69"/>
    </row>
    <row r="709" spans="1:7" ht="15" x14ac:dyDescent="0.25">
      <c r="A709" s="69"/>
      <c r="B709" s="69"/>
      <c r="C709" s="69"/>
      <c r="D709" s="69"/>
      <c r="E709" s="70"/>
      <c r="F709" s="71"/>
      <c r="G709" s="69"/>
    </row>
    <row r="710" spans="1:7" ht="15" x14ac:dyDescent="0.25">
      <c r="A710" s="69"/>
      <c r="B710" s="69"/>
      <c r="C710" s="69"/>
      <c r="D710" s="69"/>
      <c r="E710" s="70"/>
      <c r="F710" s="71"/>
      <c r="G710" s="69"/>
    </row>
    <row r="711" spans="1:7" ht="15" x14ac:dyDescent="0.25">
      <c r="A711" s="69"/>
      <c r="B711" s="69"/>
      <c r="C711" s="69"/>
      <c r="D711" s="69"/>
      <c r="E711" s="70"/>
      <c r="F711" s="71"/>
      <c r="G711" s="69"/>
    </row>
    <row r="712" spans="1:7" ht="15" x14ac:dyDescent="0.25">
      <c r="A712" s="69"/>
      <c r="B712" s="69"/>
      <c r="C712" s="69"/>
      <c r="D712" s="69"/>
      <c r="E712" s="70"/>
      <c r="F712" s="71"/>
      <c r="G712" s="69"/>
    </row>
    <row r="713" spans="1:7" ht="15" x14ac:dyDescent="0.25">
      <c r="A713" s="69"/>
      <c r="B713" s="69"/>
      <c r="C713" s="69"/>
      <c r="D713" s="69"/>
      <c r="E713" s="70"/>
      <c r="F713" s="71"/>
      <c r="G713" s="69"/>
    </row>
    <row r="714" spans="1:7" ht="15" x14ac:dyDescent="0.25">
      <c r="A714" s="69"/>
      <c r="B714" s="69"/>
      <c r="C714" s="69"/>
      <c r="D714" s="69"/>
      <c r="E714" s="70"/>
      <c r="F714" s="71"/>
      <c r="G714" s="69"/>
    </row>
    <row r="715" spans="1:7" ht="15" x14ac:dyDescent="0.25">
      <c r="A715" s="69"/>
      <c r="B715" s="69"/>
      <c r="C715" s="69"/>
      <c r="D715" s="69"/>
      <c r="E715" s="70"/>
      <c r="F715" s="71"/>
      <c r="G715" s="69"/>
    </row>
    <row r="716" spans="1:7" ht="15" x14ac:dyDescent="0.25">
      <c r="A716" s="69"/>
      <c r="B716" s="69"/>
      <c r="C716" s="69"/>
      <c r="D716" s="69"/>
      <c r="E716" s="70"/>
      <c r="F716" s="71"/>
      <c r="G716" s="69"/>
    </row>
    <row r="717" spans="1:7" ht="15" x14ac:dyDescent="0.25">
      <c r="A717" s="69"/>
      <c r="B717" s="69"/>
      <c r="C717" s="69"/>
      <c r="D717" s="69"/>
      <c r="E717" s="70"/>
      <c r="F717" s="71"/>
      <c r="G717" s="69"/>
    </row>
    <row r="718" spans="1:7" ht="15" x14ac:dyDescent="0.25">
      <c r="A718" s="69"/>
      <c r="B718" s="69"/>
      <c r="C718" s="69"/>
      <c r="D718" s="69"/>
      <c r="E718" s="70"/>
      <c r="F718" s="71"/>
      <c r="G718" s="69"/>
    </row>
    <row r="719" spans="1:7" ht="15" x14ac:dyDescent="0.25">
      <c r="A719" s="69"/>
      <c r="B719" s="69"/>
      <c r="C719" s="69"/>
      <c r="D719" s="69"/>
      <c r="E719" s="70"/>
      <c r="F719" s="71"/>
      <c r="G719" s="69"/>
    </row>
    <row r="720" spans="1:7" ht="15" x14ac:dyDescent="0.25">
      <c r="A720" s="69"/>
      <c r="B720" s="69"/>
      <c r="C720" s="69"/>
      <c r="D720" s="69"/>
      <c r="E720" s="70"/>
      <c r="F720" s="71"/>
      <c r="G720" s="69"/>
    </row>
    <row r="721" spans="1:7" ht="15" x14ac:dyDescent="0.25">
      <c r="A721" s="69"/>
      <c r="B721" s="69"/>
      <c r="C721" s="69"/>
      <c r="D721" s="69"/>
      <c r="E721" s="70"/>
      <c r="F721" s="71"/>
      <c r="G721" s="69"/>
    </row>
    <row r="722" spans="1:7" ht="15" x14ac:dyDescent="0.25">
      <c r="A722" s="69"/>
      <c r="B722" s="69"/>
      <c r="C722" s="69"/>
      <c r="D722" s="69"/>
      <c r="E722" s="70"/>
      <c r="F722" s="71"/>
      <c r="G722" s="69"/>
    </row>
    <row r="723" spans="1:7" ht="15" x14ac:dyDescent="0.25">
      <c r="A723" s="69"/>
      <c r="B723" s="69"/>
      <c r="C723" s="69"/>
      <c r="D723" s="69"/>
      <c r="E723" s="70"/>
      <c r="F723" s="71"/>
      <c r="G723" s="69"/>
    </row>
    <row r="724" spans="1:7" ht="15" x14ac:dyDescent="0.25">
      <c r="A724" s="69"/>
      <c r="B724" s="69"/>
      <c r="C724" s="69"/>
      <c r="D724" s="69"/>
      <c r="E724" s="70"/>
      <c r="F724" s="71"/>
      <c r="G724" s="69"/>
    </row>
    <row r="725" spans="1:7" ht="15" x14ac:dyDescent="0.25">
      <c r="A725" s="69"/>
      <c r="B725" s="69"/>
      <c r="C725" s="69"/>
      <c r="D725" s="69"/>
      <c r="E725" s="70"/>
      <c r="F725" s="71"/>
      <c r="G725" s="69"/>
    </row>
    <row r="726" spans="1:7" ht="15" x14ac:dyDescent="0.25">
      <c r="A726" s="69"/>
      <c r="B726" s="69"/>
      <c r="C726" s="69"/>
      <c r="D726" s="69"/>
      <c r="E726" s="70"/>
      <c r="F726" s="71"/>
      <c r="G726" s="69"/>
    </row>
    <row r="727" spans="1:7" ht="15" x14ac:dyDescent="0.25">
      <c r="A727" s="69"/>
      <c r="B727" s="69"/>
      <c r="C727" s="69"/>
      <c r="D727" s="69"/>
      <c r="E727" s="70"/>
      <c r="F727" s="71"/>
      <c r="G727" s="69"/>
    </row>
    <row r="728" spans="1:7" ht="15" x14ac:dyDescent="0.25">
      <c r="A728" s="69"/>
      <c r="B728" s="69"/>
      <c r="C728" s="69"/>
      <c r="D728" s="69"/>
      <c r="E728" s="70"/>
      <c r="F728" s="71"/>
      <c r="G728" s="69"/>
    </row>
    <row r="729" spans="1:7" ht="15" x14ac:dyDescent="0.25">
      <c r="A729" s="69"/>
      <c r="B729" s="69"/>
      <c r="C729" s="69"/>
      <c r="D729" s="69"/>
      <c r="E729" s="70"/>
      <c r="F729" s="71"/>
      <c r="G729" s="69"/>
    </row>
    <row r="730" spans="1:7" ht="15" x14ac:dyDescent="0.25">
      <c r="A730" s="69"/>
      <c r="B730" s="69"/>
      <c r="C730" s="69"/>
      <c r="D730" s="69"/>
      <c r="E730" s="70"/>
      <c r="F730" s="71"/>
      <c r="G730" s="69"/>
    </row>
    <row r="731" spans="1:7" ht="15" x14ac:dyDescent="0.25">
      <c r="A731" s="69"/>
      <c r="B731" s="69"/>
      <c r="C731" s="69"/>
      <c r="D731" s="69"/>
      <c r="E731" s="70"/>
      <c r="F731" s="71"/>
      <c r="G731" s="69"/>
    </row>
    <row r="732" spans="1:7" ht="15" x14ac:dyDescent="0.25">
      <c r="A732" s="69"/>
      <c r="B732" s="69"/>
      <c r="C732" s="69"/>
      <c r="D732" s="69"/>
      <c r="E732" s="70"/>
      <c r="F732" s="71"/>
      <c r="G732" s="69"/>
    </row>
    <row r="733" spans="1:7" ht="15" x14ac:dyDescent="0.25">
      <c r="A733" s="69"/>
      <c r="B733" s="69"/>
      <c r="C733" s="69"/>
      <c r="D733" s="69"/>
      <c r="E733" s="70"/>
      <c r="F733" s="71"/>
      <c r="G733" s="69"/>
    </row>
    <row r="734" spans="1:7" ht="15" x14ac:dyDescent="0.25">
      <c r="A734" s="69"/>
      <c r="B734" s="69"/>
      <c r="C734" s="69"/>
      <c r="D734" s="69"/>
      <c r="E734" s="70"/>
      <c r="F734" s="71"/>
      <c r="G734" s="69"/>
    </row>
    <row r="735" spans="1:7" ht="15" x14ac:dyDescent="0.25">
      <c r="A735" s="69"/>
      <c r="B735" s="69"/>
      <c r="C735" s="69"/>
      <c r="D735" s="69"/>
      <c r="E735" s="70"/>
      <c r="F735" s="71"/>
      <c r="G735" s="69"/>
    </row>
    <row r="736" spans="1:7" ht="15" x14ac:dyDescent="0.25">
      <c r="A736" s="69"/>
      <c r="B736" s="69"/>
      <c r="C736" s="69"/>
      <c r="D736" s="69"/>
      <c r="E736" s="70"/>
      <c r="F736" s="71"/>
      <c r="G736" s="69"/>
    </row>
    <row r="737" spans="1:7" ht="15" x14ac:dyDescent="0.25">
      <c r="A737" s="69"/>
      <c r="B737" s="69"/>
      <c r="C737" s="69"/>
      <c r="D737" s="69"/>
      <c r="E737" s="70"/>
      <c r="F737" s="71"/>
      <c r="G737" s="69"/>
    </row>
    <row r="738" spans="1:7" ht="15" x14ac:dyDescent="0.25">
      <c r="A738" s="69"/>
      <c r="B738" s="69"/>
      <c r="C738" s="69"/>
      <c r="D738" s="69"/>
      <c r="E738" s="70"/>
      <c r="F738" s="71"/>
      <c r="G738" s="69"/>
    </row>
    <row r="739" spans="1:7" ht="15" x14ac:dyDescent="0.25">
      <c r="A739" s="69"/>
      <c r="B739" s="69"/>
      <c r="C739" s="69"/>
      <c r="D739" s="69"/>
      <c r="E739" s="70"/>
      <c r="F739" s="71"/>
      <c r="G739" s="69"/>
    </row>
    <row r="740" spans="1:7" ht="15" x14ac:dyDescent="0.25">
      <c r="A740" s="69"/>
      <c r="B740" s="69"/>
      <c r="C740" s="69"/>
      <c r="D740" s="69"/>
      <c r="E740" s="70"/>
      <c r="F740" s="71"/>
      <c r="G740" s="69"/>
    </row>
    <row r="741" spans="1:7" ht="15" x14ac:dyDescent="0.25">
      <c r="A741" s="69"/>
      <c r="B741" s="69"/>
      <c r="C741" s="69"/>
      <c r="D741" s="69"/>
      <c r="E741" s="70"/>
      <c r="F741" s="71"/>
      <c r="G741" s="69"/>
    </row>
    <row r="742" spans="1:7" ht="15" x14ac:dyDescent="0.25">
      <c r="A742" s="69"/>
      <c r="B742" s="69"/>
      <c r="C742" s="69"/>
      <c r="D742" s="69"/>
      <c r="E742" s="70"/>
      <c r="F742" s="71"/>
      <c r="G742" s="69"/>
    </row>
    <row r="743" spans="1:7" ht="15" x14ac:dyDescent="0.25">
      <c r="A743" s="69"/>
      <c r="B743" s="69"/>
      <c r="C743" s="69"/>
      <c r="D743" s="69"/>
      <c r="E743" s="70"/>
      <c r="F743" s="71"/>
      <c r="G743" s="69"/>
    </row>
    <row r="744" spans="1:7" ht="15" x14ac:dyDescent="0.25">
      <c r="A744" s="69"/>
      <c r="B744" s="69"/>
      <c r="C744" s="69"/>
      <c r="D744" s="69"/>
      <c r="E744" s="70"/>
      <c r="F744" s="71"/>
      <c r="G744" s="69"/>
    </row>
    <row r="745" spans="1:7" ht="15" x14ac:dyDescent="0.25">
      <c r="A745" s="69"/>
      <c r="B745" s="69"/>
      <c r="C745" s="69"/>
      <c r="D745" s="69"/>
      <c r="E745" s="70"/>
      <c r="F745" s="71"/>
      <c r="G745" s="69"/>
    </row>
    <row r="746" spans="1:7" ht="15" x14ac:dyDescent="0.25">
      <c r="A746" s="69"/>
      <c r="B746" s="69"/>
      <c r="C746" s="69"/>
      <c r="D746" s="69"/>
      <c r="E746" s="70"/>
      <c r="F746" s="71"/>
      <c r="G746" s="69"/>
    </row>
    <row r="747" spans="1:7" ht="15" x14ac:dyDescent="0.25">
      <c r="A747" s="69"/>
      <c r="B747" s="69"/>
      <c r="C747" s="69"/>
      <c r="D747" s="69"/>
      <c r="E747" s="70"/>
      <c r="F747" s="71"/>
      <c r="G747" s="69"/>
    </row>
    <row r="748" spans="1:7" ht="15" x14ac:dyDescent="0.25">
      <c r="A748" s="69"/>
      <c r="B748" s="69"/>
      <c r="C748" s="69"/>
      <c r="D748" s="69"/>
      <c r="E748" s="70"/>
      <c r="F748" s="71"/>
      <c r="G748" s="69"/>
    </row>
    <row r="749" spans="1:7" ht="15" x14ac:dyDescent="0.25">
      <c r="A749" s="69"/>
      <c r="B749" s="69"/>
      <c r="C749" s="69"/>
      <c r="D749" s="69"/>
      <c r="E749" s="70"/>
      <c r="F749" s="71"/>
      <c r="G749" s="69"/>
    </row>
    <row r="750" spans="1:7" ht="15" x14ac:dyDescent="0.25">
      <c r="A750" s="69"/>
      <c r="B750" s="69"/>
      <c r="C750" s="69"/>
      <c r="D750" s="69"/>
      <c r="E750" s="70"/>
      <c r="F750" s="71"/>
      <c r="G750" s="69"/>
    </row>
    <row r="751" spans="1:7" ht="15" x14ac:dyDescent="0.25">
      <c r="A751" s="69"/>
      <c r="B751" s="69"/>
      <c r="C751" s="69"/>
      <c r="D751" s="69"/>
      <c r="E751" s="70"/>
      <c r="F751" s="71"/>
      <c r="G751" s="69"/>
    </row>
    <row r="752" spans="1:7" ht="15" x14ac:dyDescent="0.25">
      <c r="A752" s="69"/>
      <c r="B752" s="69"/>
      <c r="C752" s="69"/>
      <c r="D752" s="69"/>
      <c r="E752" s="70"/>
      <c r="F752" s="71"/>
      <c r="G752" s="69"/>
    </row>
    <row r="753" spans="1:7" ht="15" x14ac:dyDescent="0.25">
      <c r="A753" s="69"/>
      <c r="B753" s="69"/>
      <c r="C753" s="69"/>
      <c r="D753" s="69"/>
      <c r="E753" s="70"/>
      <c r="F753" s="71"/>
      <c r="G753" s="69"/>
    </row>
    <row r="754" spans="1:7" ht="15" x14ac:dyDescent="0.25">
      <c r="A754" s="69"/>
      <c r="B754" s="69"/>
      <c r="C754" s="69"/>
      <c r="D754" s="69"/>
      <c r="E754" s="70"/>
      <c r="F754" s="71"/>
      <c r="G754" s="69"/>
    </row>
    <row r="755" spans="1:7" ht="15" x14ac:dyDescent="0.25">
      <c r="A755" s="69"/>
      <c r="B755" s="69"/>
      <c r="C755" s="69"/>
      <c r="D755" s="69"/>
      <c r="E755" s="70"/>
      <c r="F755" s="71"/>
      <c r="G755" s="69"/>
    </row>
    <row r="756" spans="1:7" ht="15" x14ac:dyDescent="0.25">
      <c r="A756" s="69"/>
      <c r="B756" s="69"/>
      <c r="C756" s="69"/>
      <c r="D756" s="69"/>
      <c r="E756" s="70"/>
      <c r="F756" s="71"/>
      <c r="G756" s="69"/>
    </row>
    <row r="757" spans="1:7" ht="15" x14ac:dyDescent="0.25">
      <c r="A757" s="69"/>
      <c r="B757" s="69"/>
      <c r="C757" s="69"/>
      <c r="D757" s="69"/>
      <c r="E757" s="70"/>
      <c r="F757" s="71"/>
      <c r="G757" s="69"/>
    </row>
    <row r="758" spans="1:7" ht="15" x14ac:dyDescent="0.25">
      <c r="A758" s="69"/>
      <c r="B758" s="69"/>
      <c r="C758" s="69"/>
      <c r="D758" s="69"/>
      <c r="E758" s="70"/>
      <c r="F758" s="71"/>
      <c r="G758" s="69"/>
    </row>
    <row r="759" spans="1:7" ht="15" x14ac:dyDescent="0.25">
      <c r="A759" s="69"/>
      <c r="B759" s="69"/>
      <c r="C759" s="69"/>
      <c r="D759" s="69"/>
      <c r="E759" s="70"/>
      <c r="F759" s="71"/>
      <c r="G759" s="69"/>
    </row>
    <row r="760" spans="1:7" ht="15" x14ac:dyDescent="0.25">
      <c r="A760" s="69"/>
      <c r="B760" s="69"/>
      <c r="C760" s="69"/>
      <c r="D760" s="69"/>
      <c r="E760" s="70"/>
      <c r="F760" s="71"/>
      <c r="G760" s="69"/>
    </row>
    <row r="761" spans="1:7" ht="15" x14ac:dyDescent="0.25">
      <c r="A761" s="69"/>
      <c r="B761" s="69"/>
      <c r="C761" s="69"/>
      <c r="D761" s="69"/>
      <c r="E761" s="70"/>
      <c r="F761" s="71"/>
      <c r="G761" s="69"/>
    </row>
    <row r="762" spans="1:7" ht="15" x14ac:dyDescent="0.25">
      <c r="A762" s="69"/>
      <c r="B762" s="69"/>
      <c r="C762" s="69"/>
      <c r="D762" s="69"/>
      <c r="E762" s="70"/>
      <c r="F762" s="71"/>
      <c r="G762" s="69"/>
    </row>
    <row r="763" spans="1:7" ht="15" x14ac:dyDescent="0.25">
      <c r="A763" s="69"/>
      <c r="B763" s="69"/>
      <c r="C763" s="69"/>
      <c r="D763" s="69"/>
      <c r="E763" s="70"/>
      <c r="F763" s="71"/>
      <c r="G763" s="69"/>
    </row>
    <row r="764" spans="1:7" ht="15" x14ac:dyDescent="0.25">
      <c r="A764" s="69"/>
      <c r="B764" s="69"/>
      <c r="C764" s="69"/>
      <c r="D764" s="69"/>
      <c r="E764" s="70"/>
      <c r="F764" s="71"/>
      <c r="G764" s="69"/>
    </row>
    <row r="765" spans="1:7" ht="15" x14ac:dyDescent="0.25">
      <c r="A765" s="69"/>
      <c r="B765" s="69"/>
      <c r="C765" s="69"/>
      <c r="D765" s="69"/>
      <c r="E765" s="70"/>
      <c r="F765" s="71"/>
      <c r="G765" s="69"/>
    </row>
    <row r="766" spans="1:7" ht="15" x14ac:dyDescent="0.25">
      <c r="A766" s="69"/>
      <c r="B766" s="69"/>
      <c r="C766" s="69"/>
      <c r="D766" s="69"/>
      <c r="E766" s="70"/>
      <c r="F766" s="71"/>
      <c r="G766" s="69"/>
    </row>
    <row r="767" spans="1:7" ht="15" x14ac:dyDescent="0.25">
      <c r="A767" s="69"/>
      <c r="B767" s="69"/>
      <c r="C767" s="69"/>
      <c r="D767" s="69"/>
      <c r="E767" s="70"/>
      <c r="F767" s="71"/>
      <c r="G767" s="69"/>
    </row>
    <row r="768" spans="1:7" ht="15" x14ac:dyDescent="0.25">
      <c r="A768" s="69"/>
      <c r="B768" s="69"/>
      <c r="C768" s="69"/>
      <c r="D768" s="69"/>
      <c r="E768" s="70"/>
      <c r="F768" s="71"/>
      <c r="G768" s="69"/>
    </row>
    <row r="769" spans="1:7" ht="15" x14ac:dyDescent="0.25">
      <c r="A769" s="69"/>
      <c r="B769" s="69"/>
      <c r="C769" s="69"/>
      <c r="D769" s="69"/>
      <c r="E769" s="70"/>
      <c r="F769" s="71"/>
      <c r="G769" s="69"/>
    </row>
    <row r="770" spans="1:7" ht="15" x14ac:dyDescent="0.25">
      <c r="A770" s="69"/>
      <c r="B770" s="69"/>
      <c r="C770" s="69"/>
      <c r="D770" s="69"/>
      <c r="E770" s="70"/>
      <c r="F770" s="71"/>
      <c r="G770" s="69"/>
    </row>
    <row r="771" spans="1:7" ht="15" x14ac:dyDescent="0.25">
      <c r="A771" s="69"/>
      <c r="B771" s="69"/>
      <c r="C771" s="69"/>
      <c r="D771" s="69"/>
      <c r="E771" s="70"/>
      <c r="F771" s="71"/>
      <c r="G771" s="69"/>
    </row>
    <row r="772" spans="1:7" ht="15" x14ac:dyDescent="0.25">
      <c r="A772" s="69"/>
      <c r="B772" s="69"/>
      <c r="C772" s="69"/>
      <c r="D772" s="69"/>
      <c r="E772" s="70"/>
      <c r="F772" s="71"/>
      <c r="G772" s="69"/>
    </row>
    <row r="773" spans="1:7" ht="15" x14ac:dyDescent="0.25">
      <c r="A773" s="69"/>
      <c r="B773" s="69"/>
      <c r="C773" s="69"/>
      <c r="D773" s="69"/>
      <c r="E773" s="70"/>
      <c r="F773" s="71"/>
      <c r="G773" s="69"/>
    </row>
    <row r="774" spans="1:7" ht="15" x14ac:dyDescent="0.25">
      <c r="A774" s="69"/>
      <c r="B774" s="69"/>
      <c r="C774" s="69"/>
      <c r="D774" s="69"/>
      <c r="E774" s="70"/>
      <c r="F774" s="71"/>
      <c r="G774" s="69"/>
    </row>
    <row r="775" spans="1:7" ht="15" x14ac:dyDescent="0.25">
      <c r="A775" s="69"/>
      <c r="B775" s="69"/>
      <c r="C775" s="69"/>
      <c r="D775" s="69"/>
      <c r="E775" s="70"/>
      <c r="F775" s="71"/>
      <c r="G775" s="69"/>
    </row>
    <row r="776" spans="1:7" ht="15" x14ac:dyDescent="0.25">
      <c r="A776" s="69"/>
      <c r="B776" s="69"/>
      <c r="C776" s="69"/>
      <c r="D776" s="69"/>
      <c r="E776" s="70"/>
      <c r="F776" s="71"/>
      <c r="G776" s="69"/>
    </row>
    <row r="777" spans="1:7" ht="15" x14ac:dyDescent="0.25">
      <c r="A777" s="69"/>
      <c r="B777" s="69"/>
      <c r="C777" s="69"/>
      <c r="D777" s="69"/>
      <c r="E777" s="70"/>
      <c r="F777" s="71"/>
      <c r="G777" s="69"/>
    </row>
    <row r="778" spans="1:7" ht="15" x14ac:dyDescent="0.25">
      <c r="A778" s="69"/>
      <c r="B778" s="69"/>
      <c r="C778" s="69"/>
      <c r="D778" s="69"/>
      <c r="E778" s="70"/>
      <c r="F778" s="71"/>
      <c r="G778" s="69"/>
    </row>
    <row r="779" spans="1:7" ht="15" x14ac:dyDescent="0.25">
      <c r="A779" s="69"/>
      <c r="B779" s="69"/>
      <c r="C779" s="69"/>
      <c r="D779" s="69"/>
      <c r="E779" s="70"/>
      <c r="F779" s="71"/>
      <c r="G779" s="69"/>
    </row>
    <row r="780" spans="1:7" ht="15" x14ac:dyDescent="0.25">
      <c r="A780" s="69"/>
      <c r="B780" s="69"/>
      <c r="C780" s="69"/>
      <c r="D780" s="69"/>
      <c r="E780" s="70"/>
      <c r="F780" s="71"/>
      <c r="G780" s="69"/>
    </row>
    <row r="781" spans="1:7" ht="15" x14ac:dyDescent="0.25">
      <c r="A781" s="69"/>
      <c r="B781" s="69"/>
      <c r="C781" s="69"/>
      <c r="D781" s="69"/>
      <c r="E781" s="70"/>
      <c r="F781" s="71"/>
      <c r="G781" s="69"/>
    </row>
    <row r="782" spans="1:7" ht="15" x14ac:dyDescent="0.25">
      <c r="A782" s="69"/>
      <c r="B782" s="69"/>
      <c r="C782" s="69"/>
      <c r="D782" s="69"/>
      <c r="E782" s="70"/>
      <c r="F782" s="71"/>
      <c r="G782" s="69"/>
    </row>
    <row r="783" spans="1:7" ht="15" x14ac:dyDescent="0.25">
      <c r="A783" s="69"/>
      <c r="B783" s="69"/>
      <c r="C783" s="69"/>
      <c r="D783" s="69"/>
      <c r="E783" s="70"/>
      <c r="F783" s="71"/>
      <c r="G783" s="69"/>
    </row>
    <row r="784" spans="1:7" ht="15" x14ac:dyDescent="0.25">
      <c r="A784" s="69"/>
      <c r="B784" s="69"/>
      <c r="C784" s="69"/>
      <c r="D784" s="69"/>
      <c r="E784" s="70"/>
      <c r="F784" s="71"/>
      <c r="G784" s="69"/>
    </row>
    <row r="785" spans="1:7" ht="15" x14ac:dyDescent="0.25">
      <c r="A785" s="69"/>
      <c r="B785" s="69"/>
      <c r="C785" s="69"/>
      <c r="D785" s="69"/>
      <c r="E785" s="70"/>
      <c r="F785" s="71"/>
      <c r="G785" s="69"/>
    </row>
    <row r="786" spans="1:7" ht="15" x14ac:dyDescent="0.25">
      <c r="A786" s="69"/>
      <c r="B786" s="69"/>
      <c r="C786" s="69"/>
      <c r="D786" s="69"/>
      <c r="E786" s="70"/>
      <c r="F786" s="71"/>
      <c r="G786" s="69"/>
    </row>
    <row r="787" spans="1:7" ht="15" x14ac:dyDescent="0.25">
      <c r="A787" s="69"/>
      <c r="B787" s="69"/>
      <c r="C787" s="69"/>
      <c r="D787" s="69"/>
      <c r="E787" s="70"/>
      <c r="F787" s="71"/>
      <c r="G787" s="69"/>
    </row>
    <row r="788" spans="1:7" ht="15" x14ac:dyDescent="0.25">
      <c r="A788" s="69"/>
      <c r="B788" s="69"/>
      <c r="C788" s="69"/>
      <c r="D788" s="69"/>
      <c r="E788" s="70"/>
      <c r="F788" s="71"/>
      <c r="G788" s="69"/>
    </row>
    <row r="789" spans="1:7" ht="15" x14ac:dyDescent="0.25">
      <c r="A789" s="69"/>
      <c r="B789" s="69"/>
      <c r="C789" s="69"/>
      <c r="D789" s="69"/>
      <c r="E789" s="70"/>
      <c r="F789" s="71"/>
      <c r="G789" s="69"/>
    </row>
    <row r="790" spans="1:7" ht="15" x14ac:dyDescent="0.25">
      <c r="A790" s="69"/>
      <c r="B790" s="69"/>
      <c r="C790" s="69"/>
      <c r="D790" s="69"/>
      <c r="E790" s="70"/>
      <c r="F790" s="71"/>
      <c r="G790" s="69"/>
    </row>
    <row r="791" spans="1:7" ht="15" x14ac:dyDescent="0.25">
      <c r="A791" s="69"/>
      <c r="B791" s="69"/>
      <c r="C791" s="69"/>
      <c r="D791" s="69"/>
      <c r="E791" s="70"/>
      <c r="F791" s="71"/>
      <c r="G791" s="69"/>
    </row>
    <row r="792" spans="1:7" ht="15" x14ac:dyDescent="0.25">
      <c r="A792" s="69"/>
      <c r="B792" s="69"/>
      <c r="C792" s="69"/>
      <c r="D792" s="69"/>
      <c r="E792" s="70"/>
      <c r="F792" s="71"/>
      <c r="G792" s="69"/>
    </row>
    <row r="793" spans="1:7" ht="15" x14ac:dyDescent="0.25">
      <c r="A793" s="69"/>
      <c r="B793" s="69"/>
      <c r="C793" s="69"/>
      <c r="D793" s="69"/>
      <c r="E793" s="70"/>
      <c r="F793" s="71"/>
      <c r="G793" s="69"/>
    </row>
    <row r="794" spans="1:7" ht="15" x14ac:dyDescent="0.25">
      <c r="A794" s="69"/>
      <c r="B794" s="69"/>
      <c r="C794" s="69"/>
      <c r="D794" s="69"/>
      <c r="E794" s="70"/>
      <c r="F794" s="71"/>
      <c r="G794" s="69"/>
    </row>
    <row r="795" spans="1:7" ht="15" x14ac:dyDescent="0.25">
      <c r="A795" s="69"/>
      <c r="B795" s="69"/>
      <c r="C795" s="69"/>
      <c r="D795" s="69"/>
      <c r="E795" s="70"/>
      <c r="F795" s="71"/>
      <c r="G795" s="69"/>
    </row>
    <row r="796" spans="1:7" ht="15" x14ac:dyDescent="0.25">
      <c r="A796" s="69"/>
      <c r="B796" s="69"/>
      <c r="C796" s="69"/>
      <c r="D796" s="69"/>
      <c r="E796" s="70"/>
      <c r="F796" s="71"/>
      <c r="G796" s="69"/>
    </row>
    <row r="797" spans="1:7" ht="15" x14ac:dyDescent="0.25">
      <c r="A797" s="69"/>
      <c r="B797" s="69"/>
      <c r="C797" s="69"/>
      <c r="D797" s="69"/>
      <c r="E797" s="70"/>
      <c r="F797" s="71"/>
      <c r="G797" s="69"/>
    </row>
    <row r="798" spans="1:7" ht="15" x14ac:dyDescent="0.25">
      <c r="A798" s="69"/>
      <c r="B798" s="69"/>
      <c r="C798" s="69"/>
      <c r="D798" s="69"/>
      <c r="E798" s="70"/>
      <c r="F798" s="71"/>
      <c r="G798" s="69"/>
    </row>
    <row r="799" spans="1:7" ht="15" x14ac:dyDescent="0.25">
      <c r="A799" s="69"/>
      <c r="B799" s="69"/>
      <c r="C799" s="69"/>
      <c r="D799" s="69"/>
      <c r="E799" s="70"/>
      <c r="F799" s="71"/>
      <c r="G799" s="69"/>
    </row>
    <row r="800" spans="1:7" ht="15" x14ac:dyDescent="0.25">
      <c r="A800" s="69"/>
      <c r="B800" s="69"/>
      <c r="C800" s="69"/>
      <c r="D800" s="69"/>
      <c r="E800" s="70"/>
      <c r="F800" s="71"/>
      <c r="G800" s="69"/>
    </row>
    <row r="801" spans="1:7" ht="15" x14ac:dyDescent="0.25">
      <c r="A801" s="69"/>
      <c r="B801" s="69"/>
      <c r="C801" s="69"/>
      <c r="D801" s="69"/>
      <c r="E801" s="70"/>
      <c r="F801" s="71"/>
      <c r="G801" s="69"/>
    </row>
    <row r="802" spans="1:7" ht="15" x14ac:dyDescent="0.25">
      <c r="A802" s="69"/>
      <c r="B802" s="69"/>
      <c r="C802" s="69"/>
      <c r="D802" s="69"/>
      <c r="E802" s="70"/>
      <c r="F802" s="71"/>
      <c r="G802" s="69"/>
    </row>
    <row r="803" spans="1:7" ht="15" x14ac:dyDescent="0.25">
      <c r="A803" s="69"/>
      <c r="B803" s="69"/>
      <c r="C803" s="69"/>
      <c r="D803" s="69"/>
      <c r="E803" s="70"/>
      <c r="F803" s="71"/>
      <c r="G803" s="69"/>
    </row>
    <row r="804" spans="1:7" ht="15" x14ac:dyDescent="0.25">
      <c r="A804" s="69"/>
      <c r="B804" s="69"/>
      <c r="C804" s="69"/>
      <c r="D804" s="69"/>
      <c r="E804" s="70"/>
      <c r="F804" s="71"/>
      <c r="G804" s="69"/>
    </row>
    <row r="805" spans="1:7" ht="15" x14ac:dyDescent="0.25">
      <c r="A805" s="69"/>
      <c r="B805" s="69"/>
      <c r="C805" s="69"/>
      <c r="D805" s="69"/>
      <c r="E805" s="70"/>
      <c r="F805" s="71"/>
      <c r="G805" s="69"/>
    </row>
    <row r="806" spans="1:7" ht="15" x14ac:dyDescent="0.25">
      <c r="A806" s="69"/>
      <c r="B806" s="69"/>
      <c r="C806" s="69"/>
      <c r="D806" s="69"/>
      <c r="E806" s="70"/>
      <c r="F806" s="71"/>
      <c r="G806" s="69"/>
    </row>
    <row r="807" spans="1:7" ht="15" x14ac:dyDescent="0.25">
      <c r="A807" s="69"/>
      <c r="B807" s="69"/>
      <c r="C807" s="69"/>
      <c r="D807" s="69"/>
      <c r="E807" s="70"/>
      <c r="F807" s="71"/>
      <c r="G807" s="69"/>
    </row>
    <row r="808" spans="1:7" ht="15" x14ac:dyDescent="0.25">
      <c r="A808" s="69"/>
      <c r="B808" s="69"/>
      <c r="C808" s="69"/>
      <c r="D808" s="69"/>
      <c r="E808" s="70"/>
      <c r="F808" s="71"/>
      <c r="G808" s="69"/>
    </row>
    <row r="809" spans="1:7" ht="15" x14ac:dyDescent="0.25">
      <c r="A809" s="69"/>
      <c r="B809" s="69"/>
      <c r="C809" s="69"/>
      <c r="D809" s="69"/>
      <c r="E809" s="70"/>
      <c r="F809" s="71"/>
      <c r="G809" s="69"/>
    </row>
    <row r="810" spans="1:7" ht="15" x14ac:dyDescent="0.25">
      <c r="A810" s="69"/>
      <c r="B810" s="69"/>
      <c r="C810" s="69"/>
      <c r="D810" s="69"/>
      <c r="E810" s="70"/>
      <c r="F810" s="71"/>
      <c r="G810" s="69"/>
    </row>
    <row r="811" spans="1:7" ht="15" x14ac:dyDescent="0.25">
      <c r="A811" s="69"/>
      <c r="B811" s="69"/>
      <c r="C811" s="69"/>
      <c r="D811" s="69"/>
      <c r="E811" s="70"/>
      <c r="F811" s="71"/>
      <c r="G811" s="69"/>
    </row>
    <row r="812" spans="1:7" ht="15" x14ac:dyDescent="0.25">
      <c r="A812" s="69"/>
      <c r="B812" s="69"/>
      <c r="C812" s="69"/>
      <c r="D812" s="69"/>
      <c r="E812" s="70"/>
      <c r="F812" s="71"/>
      <c r="G812" s="69"/>
    </row>
    <row r="813" spans="1:7" ht="15" x14ac:dyDescent="0.25">
      <c r="A813" s="69"/>
      <c r="B813" s="69"/>
      <c r="C813" s="69"/>
      <c r="D813" s="69"/>
      <c r="E813" s="70"/>
      <c r="F813" s="71"/>
      <c r="G813" s="69"/>
    </row>
    <row r="814" spans="1:7" ht="15" x14ac:dyDescent="0.25">
      <c r="A814" s="69"/>
      <c r="B814" s="69"/>
      <c r="C814" s="69"/>
      <c r="D814" s="69"/>
      <c r="E814" s="70"/>
      <c r="F814" s="71"/>
      <c r="G814" s="69"/>
    </row>
    <row r="815" spans="1:7" ht="15" x14ac:dyDescent="0.25">
      <c r="A815" s="69"/>
      <c r="B815" s="69"/>
      <c r="C815" s="69"/>
      <c r="D815" s="69"/>
      <c r="E815" s="70"/>
      <c r="F815" s="71"/>
      <c r="G815" s="69"/>
    </row>
    <row r="816" spans="1:7" ht="15" x14ac:dyDescent="0.25">
      <c r="A816" s="69"/>
      <c r="B816" s="69"/>
      <c r="C816" s="69"/>
      <c r="D816" s="69"/>
      <c r="E816" s="70"/>
      <c r="F816" s="71"/>
      <c r="G816" s="69"/>
    </row>
    <row r="817" spans="1:7" ht="15" x14ac:dyDescent="0.25">
      <c r="A817" s="69"/>
      <c r="B817" s="69"/>
      <c r="C817" s="69"/>
      <c r="D817" s="69"/>
      <c r="E817" s="70"/>
      <c r="F817" s="71"/>
      <c r="G817" s="69"/>
    </row>
    <row r="818" spans="1:7" ht="15" x14ac:dyDescent="0.25">
      <c r="A818" s="69"/>
      <c r="B818" s="69"/>
      <c r="C818" s="69"/>
      <c r="D818" s="69"/>
      <c r="E818" s="70"/>
      <c r="F818" s="71"/>
      <c r="G818" s="69"/>
    </row>
    <row r="819" spans="1:7" ht="15" x14ac:dyDescent="0.25">
      <c r="A819" s="69"/>
      <c r="B819" s="69"/>
      <c r="C819" s="69"/>
      <c r="D819" s="69"/>
      <c r="E819" s="70"/>
      <c r="F819" s="71"/>
      <c r="G819" s="69"/>
    </row>
    <row r="820" spans="1:7" ht="15" x14ac:dyDescent="0.25">
      <c r="A820" s="69"/>
      <c r="B820" s="69"/>
      <c r="C820" s="69"/>
      <c r="D820" s="69"/>
      <c r="E820" s="70"/>
      <c r="F820" s="71"/>
      <c r="G820" s="69"/>
    </row>
    <row r="821" spans="1:7" ht="15" x14ac:dyDescent="0.25">
      <c r="A821" s="69"/>
      <c r="B821" s="69"/>
      <c r="C821" s="69"/>
      <c r="D821" s="69"/>
      <c r="E821" s="70"/>
      <c r="F821" s="71"/>
      <c r="G821" s="69"/>
    </row>
    <row r="822" spans="1:7" ht="15" x14ac:dyDescent="0.25">
      <c r="A822" s="69"/>
      <c r="B822" s="69"/>
      <c r="C822" s="69"/>
      <c r="D822" s="69"/>
      <c r="E822" s="70"/>
      <c r="F822" s="71"/>
      <c r="G822" s="69"/>
    </row>
    <row r="823" spans="1:7" ht="15" x14ac:dyDescent="0.25">
      <c r="A823" s="69"/>
      <c r="B823" s="69"/>
      <c r="C823" s="69"/>
      <c r="D823" s="69"/>
      <c r="E823" s="70"/>
      <c r="F823" s="71"/>
      <c r="G823" s="69"/>
    </row>
    <row r="824" spans="1:7" ht="15" x14ac:dyDescent="0.25">
      <c r="A824" s="69"/>
      <c r="B824" s="69"/>
      <c r="C824" s="69"/>
      <c r="D824" s="69"/>
      <c r="E824" s="70"/>
      <c r="F824" s="71"/>
      <c r="G824" s="69"/>
    </row>
    <row r="825" spans="1:7" ht="15" x14ac:dyDescent="0.25">
      <c r="A825" s="69"/>
      <c r="B825" s="69"/>
      <c r="C825" s="69"/>
      <c r="D825" s="69"/>
      <c r="E825" s="70"/>
      <c r="F825" s="71"/>
      <c r="G825" s="69"/>
    </row>
    <row r="826" spans="1:7" ht="15" x14ac:dyDescent="0.25">
      <c r="A826" s="69"/>
      <c r="B826" s="69"/>
      <c r="C826" s="69"/>
      <c r="D826" s="69"/>
      <c r="E826" s="70"/>
      <c r="F826" s="71"/>
      <c r="G826" s="69"/>
    </row>
    <row r="827" spans="1:7" ht="15" x14ac:dyDescent="0.25">
      <c r="A827" s="69"/>
      <c r="B827" s="69"/>
      <c r="C827" s="69"/>
      <c r="D827" s="69"/>
      <c r="E827" s="70"/>
      <c r="F827" s="71"/>
      <c r="G827" s="69"/>
    </row>
    <row r="828" spans="1:7" ht="15" x14ac:dyDescent="0.25">
      <c r="A828" s="69"/>
      <c r="B828" s="69"/>
      <c r="C828" s="69"/>
      <c r="D828" s="69"/>
      <c r="E828" s="70"/>
      <c r="F828" s="71"/>
      <c r="G828" s="69"/>
    </row>
    <row r="829" spans="1:7" ht="15" x14ac:dyDescent="0.25">
      <c r="A829" s="69"/>
      <c r="B829" s="69"/>
      <c r="C829" s="69"/>
      <c r="D829" s="69"/>
      <c r="E829" s="70"/>
      <c r="F829" s="71"/>
      <c r="G829" s="69"/>
    </row>
    <row r="830" spans="1:7" ht="15" x14ac:dyDescent="0.25">
      <c r="A830" s="69"/>
      <c r="B830" s="69"/>
      <c r="C830" s="69"/>
      <c r="D830" s="69"/>
      <c r="E830" s="70"/>
      <c r="F830" s="71"/>
      <c r="G830" s="69"/>
    </row>
    <row r="831" spans="1:7" ht="15" x14ac:dyDescent="0.25">
      <c r="A831" s="69"/>
      <c r="B831" s="69"/>
      <c r="C831" s="69"/>
      <c r="D831" s="69"/>
      <c r="E831" s="70"/>
      <c r="F831" s="71"/>
      <c r="G831" s="69"/>
    </row>
    <row r="832" spans="1:7" ht="15" x14ac:dyDescent="0.25">
      <c r="A832" s="69"/>
      <c r="B832" s="69"/>
      <c r="C832" s="69"/>
      <c r="D832" s="69"/>
      <c r="E832" s="70"/>
      <c r="F832" s="71"/>
      <c r="G832" s="69"/>
    </row>
    <row r="833" spans="1:7" ht="15" x14ac:dyDescent="0.25">
      <c r="A833" s="69"/>
      <c r="B833" s="69"/>
      <c r="C833" s="69"/>
      <c r="D833" s="69"/>
      <c r="E833" s="70"/>
      <c r="F833" s="71"/>
      <c r="G833" s="69"/>
    </row>
    <row r="834" spans="1:7" ht="15" x14ac:dyDescent="0.25">
      <c r="A834" s="69"/>
      <c r="B834" s="69"/>
      <c r="C834" s="69"/>
      <c r="D834" s="69"/>
      <c r="E834" s="70"/>
      <c r="F834" s="71"/>
      <c r="G834" s="69"/>
    </row>
    <row r="835" spans="1:7" ht="15" x14ac:dyDescent="0.25">
      <c r="A835" s="69"/>
      <c r="B835" s="69"/>
      <c r="C835" s="69"/>
      <c r="D835" s="69"/>
      <c r="E835" s="70"/>
      <c r="F835" s="71"/>
      <c r="G835" s="69"/>
    </row>
    <row r="836" spans="1:7" ht="15" x14ac:dyDescent="0.25">
      <c r="A836" s="69"/>
      <c r="B836" s="69"/>
      <c r="C836" s="69"/>
      <c r="D836" s="69"/>
      <c r="E836" s="70"/>
      <c r="F836" s="71"/>
      <c r="G836" s="69"/>
    </row>
    <row r="837" spans="1:7" ht="15" x14ac:dyDescent="0.25">
      <c r="A837" s="69"/>
      <c r="B837" s="69"/>
      <c r="C837" s="69"/>
      <c r="D837" s="69"/>
      <c r="E837" s="70"/>
      <c r="F837" s="71"/>
      <c r="G837" s="69"/>
    </row>
    <row r="838" spans="1:7" ht="15" x14ac:dyDescent="0.25">
      <c r="A838" s="69"/>
      <c r="B838" s="69"/>
      <c r="C838" s="69"/>
      <c r="D838" s="69"/>
      <c r="E838" s="70"/>
      <c r="F838" s="71"/>
      <c r="G838" s="69"/>
    </row>
    <row r="839" spans="1:7" ht="15" x14ac:dyDescent="0.25">
      <c r="A839" s="69"/>
      <c r="B839" s="69"/>
      <c r="C839" s="69"/>
      <c r="D839" s="69"/>
      <c r="E839" s="70"/>
      <c r="F839" s="71"/>
      <c r="G839" s="69"/>
    </row>
    <row r="840" spans="1:7" ht="15" x14ac:dyDescent="0.25">
      <c r="A840" s="69"/>
      <c r="B840" s="69"/>
      <c r="C840" s="69"/>
      <c r="D840" s="69"/>
      <c r="E840" s="70"/>
      <c r="F840" s="71"/>
      <c r="G840" s="69"/>
    </row>
    <row r="841" spans="1:7" ht="15" x14ac:dyDescent="0.25">
      <c r="A841" s="69"/>
      <c r="B841" s="69"/>
      <c r="C841" s="69"/>
      <c r="D841" s="69"/>
      <c r="E841" s="70"/>
      <c r="F841" s="71"/>
      <c r="G841" s="69"/>
    </row>
    <row r="842" spans="1:7" ht="15" x14ac:dyDescent="0.25">
      <c r="A842" s="69"/>
      <c r="B842" s="69"/>
      <c r="C842" s="69"/>
      <c r="D842" s="69"/>
      <c r="E842" s="70"/>
      <c r="F842" s="71"/>
      <c r="G842" s="69"/>
    </row>
    <row r="843" spans="1:7" ht="15" x14ac:dyDescent="0.25">
      <c r="A843" s="69"/>
      <c r="B843" s="69"/>
      <c r="C843" s="69"/>
      <c r="D843" s="69"/>
      <c r="E843" s="70"/>
      <c r="F843" s="71"/>
      <c r="G843" s="69"/>
    </row>
    <row r="844" spans="1:7" ht="15" x14ac:dyDescent="0.25">
      <c r="A844" s="69"/>
      <c r="B844" s="69"/>
      <c r="C844" s="69"/>
      <c r="D844" s="69"/>
      <c r="E844" s="70"/>
      <c r="F844" s="71"/>
      <c r="G844" s="69"/>
    </row>
    <row r="845" spans="1:7" ht="15" x14ac:dyDescent="0.25">
      <c r="A845" s="69"/>
      <c r="B845" s="69"/>
      <c r="C845" s="69"/>
      <c r="D845" s="69"/>
      <c r="E845" s="70"/>
      <c r="F845" s="71"/>
      <c r="G845" s="69"/>
    </row>
    <row r="846" spans="1:7" ht="15" x14ac:dyDescent="0.25">
      <c r="A846" s="69"/>
      <c r="B846" s="69"/>
      <c r="C846" s="69"/>
      <c r="D846" s="69"/>
      <c r="E846" s="70"/>
      <c r="F846" s="71"/>
      <c r="G846" s="69"/>
    </row>
    <row r="847" spans="1:7" ht="15" x14ac:dyDescent="0.25">
      <c r="A847" s="69"/>
      <c r="B847" s="69"/>
      <c r="C847" s="69"/>
      <c r="D847" s="69"/>
      <c r="E847" s="70"/>
      <c r="F847" s="71"/>
      <c r="G847" s="69"/>
    </row>
    <row r="848" spans="1:7" ht="15" x14ac:dyDescent="0.25">
      <c r="A848" s="69"/>
      <c r="B848" s="69"/>
      <c r="C848" s="69"/>
      <c r="D848" s="69"/>
      <c r="E848" s="70"/>
      <c r="F848" s="71"/>
      <c r="G848" s="69"/>
    </row>
    <row r="849" spans="1:7" ht="15" x14ac:dyDescent="0.25">
      <c r="A849" s="69"/>
      <c r="B849" s="69"/>
      <c r="C849" s="69"/>
      <c r="D849" s="69"/>
      <c r="E849" s="70"/>
      <c r="F849" s="71"/>
      <c r="G849" s="69"/>
    </row>
    <row r="850" spans="1:7" ht="15" x14ac:dyDescent="0.25">
      <c r="A850" s="69"/>
      <c r="B850" s="69"/>
      <c r="C850" s="69"/>
      <c r="D850" s="69"/>
      <c r="E850" s="70"/>
      <c r="F850" s="71"/>
      <c r="G850" s="69"/>
    </row>
    <row r="851" spans="1:7" ht="15" x14ac:dyDescent="0.25">
      <c r="A851" s="69"/>
      <c r="B851" s="69"/>
      <c r="C851" s="69"/>
      <c r="D851" s="69"/>
      <c r="E851" s="70"/>
      <c r="F851" s="71"/>
      <c r="G851" s="69"/>
    </row>
    <row r="852" spans="1:7" ht="15" x14ac:dyDescent="0.25">
      <c r="A852" s="69"/>
      <c r="B852" s="69"/>
      <c r="C852" s="69"/>
      <c r="D852" s="69"/>
      <c r="E852" s="70"/>
      <c r="F852" s="71"/>
      <c r="G852" s="69"/>
    </row>
    <row r="853" spans="1:7" ht="15" x14ac:dyDescent="0.25">
      <c r="A853" s="69"/>
      <c r="B853" s="69"/>
      <c r="C853" s="69"/>
      <c r="D853" s="69"/>
      <c r="E853" s="70"/>
      <c r="F853" s="71"/>
      <c r="G853" s="69"/>
    </row>
    <row r="854" spans="1:7" ht="15" x14ac:dyDescent="0.25">
      <c r="A854" s="69"/>
      <c r="B854" s="69"/>
      <c r="C854" s="69"/>
      <c r="D854" s="69"/>
      <c r="E854" s="70"/>
      <c r="F854" s="71"/>
      <c r="G854" s="69"/>
    </row>
    <row r="855" spans="1:7" ht="15" x14ac:dyDescent="0.25">
      <c r="A855" s="69"/>
      <c r="B855" s="69"/>
      <c r="C855" s="69"/>
      <c r="D855" s="69"/>
      <c r="E855" s="70"/>
      <c r="F855" s="71"/>
      <c r="G855" s="69"/>
    </row>
    <row r="856" spans="1:7" ht="15" x14ac:dyDescent="0.25">
      <c r="A856" s="69"/>
      <c r="B856" s="69"/>
      <c r="C856" s="69"/>
      <c r="D856" s="69"/>
      <c r="E856" s="70"/>
      <c r="F856" s="71"/>
      <c r="G856" s="69"/>
    </row>
    <row r="857" spans="1:7" ht="15" x14ac:dyDescent="0.25">
      <c r="A857" s="69"/>
      <c r="B857" s="69"/>
      <c r="C857" s="69"/>
      <c r="D857" s="69"/>
      <c r="E857" s="70"/>
      <c r="F857" s="71"/>
      <c r="G857" s="69"/>
    </row>
    <row r="858" spans="1:7" ht="15" x14ac:dyDescent="0.25">
      <c r="A858" s="69"/>
      <c r="B858" s="69"/>
      <c r="C858" s="69"/>
      <c r="D858" s="69"/>
      <c r="E858" s="70"/>
      <c r="F858" s="71"/>
      <c r="G858" s="69"/>
    </row>
    <row r="859" spans="1:7" ht="15" x14ac:dyDescent="0.25">
      <c r="A859" s="69"/>
      <c r="B859" s="69"/>
      <c r="C859" s="69"/>
      <c r="D859" s="69"/>
      <c r="E859" s="70"/>
      <c r="F859" s="71"/>
      <c r="G859" s="69"/>
    </row>
    <row r="860" spans="1:7" ht="15" x14ac:dyDescent="0.25">
      <c r="A860" s="69"/>
      <c r="B860" s="69"/>
      <c r="C860" s="69"/>
      <c r="D860" s="69"/>
      <c r="E860" s="70"/>
      <c r="F860" s="71"/>
      <c r="G860" s="69"/>
    </row>
    <row r="861" spans="1:7" ht="15" x14ac:dyDescent="0.25">
      <c r="A861" s="69"/>
      <c r="B861" s="69"/>
      <c r="C861" s="69"/>
      <c r="D861" s="69"/>
      <c r="E861" s="70"/>
      <c r="F861" s="71"/>
      <c r="G861" s="69"/>
    </row>
    <row r="862" spans="1:7" ht="15" x14ac:dyDescent="0.25">
      <c r="A862" s="69"/>
      <c r="B862" s="69"/>
      <c r="C862" s="69"/>
      <c r="D862" s="69"/>
      <c r="E862" s="70"/>
      <c r="F862" s="71"/>
      <c r="G862" s="69"/>
    </row>
    <row r="863" spans="1:7" ht="15" x14ac:dyDescent="0.25">
      <c r="A863" s="69"/>
      <c r="B863" s="69"/>
      <c r="C863" s="69"/>
      <c r="D863" s="69"/>
      <c r="E863" s="70"/>
      <c r="F863" s="71"/>
      <c r="G863" s="69"/>
    </row>
    <row r="864" spans="1:7" ht="15" x14ac:dyDescent="0.25">
      <c r="A864" s="69"/>
      <c r="B864" s="69"/>
      <c r="C864" s="69"/>
      <c r="D864" s="69"/>
      <c r="E864" s="70"/>
      <c r="F864" s="71"/>
      <c r="G864" s="69"/>
    </row>
    <row r="865" spans="1:7" ht="15" x14ac:dyDescent="0.25">
      <c r="A865" s="69"/>
      <c r="B865" s="69"/>
      <c r="C865" s="69"/>
      <c r="D865" s="69"/>
      <c r="E865" s="70"/>
      <c r="F865" s="71"/>
      <c r="G865" s="69"/>
    </row>
    <row r="866" spans="1:7" ht="15" x14ac:dyDescent="0.25">
      <c r="A866" s="69"/>
      <c r="B866" s="69"/>
      <c r="C866" s="69"/>
      <c r="D866" s="69"/>
      <c r="E866" s="70"/>
      <c r="F866" s="71"/>
      <c r="G866" s="69"/>
    </row>
    <row r="867" spans="1:7" ht="15" x14ac:dyDescent="0.25">
      <c r="A867" s="69"/>
      <c r="B867" s="69"/>
      <c r="C867" s="69"/>
      <c r="D867" s="69"/>
      <c r="E867" s="70"/>
      <c r="F867" s="71"/>
      <c r="G867" s="69"/>
    </row>
    <row r="868" spans="1:7" ht="15" x14ac:dyDescent="0.25">
      <c r="A868" s="69"/>
      <c r="B868" s="69"/>
      <c r="C868" s="69"/>
      <c r="D868" s="69"/>
      <c r="E868" s="70"/>
      <c r="F868" s="71"/>
      <c r="G868" s="69"/>
    </row>
    <row r="869" spans="1:7" ht="15" x14ac:dyDescent="0.25">
      <c r="A869" s="69"/>
      <c r="B869" s="69"/>
      <c r="C869" s="69"/>
      <c r="D869" s="69"/>
      <c r="E869" s="70"/>
      <c r="F869" s="71"/>
      <c r="G869" s="69"/>
    </row>
    <row r="870" spans="1:7" ht="15" x14ac:dyDescent="0.25">
      <c r="A870" s="69"/>
      <c r="B870" s="69"/>
      <c r="C870" s="69"/>
      <c r="D870" s="69"/>
      <c r="E870" s="70"/>
      <c r="F870" s="71"/>
      <c r="G870" s="69"/>
    </row>
    <row r="871" spans="1:7" ht="15" x14ac:dyDescent="0.25">
      <c r="A871" s="69"/>
      <c r="B871" s="69"/>
      <c r="C871" s="69"/>
      <c r="D871" s="69"/>
      <c r="E871" s="70"/>
      <c r="F871" s="71"/>
      <c r="G871" s="69"/>
    </row>
    <row r="872" spans="1:7" ht="15" x14ac:dyDescent="0.25">
      <c r="A872" s="69"/>
      <c r="B872" s="69"/>
      <c r="C872" s="69"/>
      <c r="D872" s="69"/>
      <c r="E872" s="70"/>
      <c r="F872" s="71"/>
      <c r="G872" s="69"/>
    </row>
    <row r="873" spans="1:7" ht="15" x14ac:dyDescent="0.25">
      <c r="A873" s="69"/>
      <c r="B873" s="69"/>
      <c r="C873" s="69"/>
      <c r="D873" s="69"/>
      <c r="E873" s="70"/>
      <c r="F873" s="71"/>
      <c r="G873" s="69"/>
    </row>
    <row r="874" spans="1:7" ht="15" x14ac:dyDescent="0.25">
      <c r="A874" s="69"/>
      <c r="B874" s="69"/>
      <c r="C874" s="69"/>
      <c r="D874" s="69"/>
      <c r="E874" s="70"/>
      <c r="F874" s="71"/>
      <c r="G874" s="69"/>
    </row>
    <row r="875" spans="1:7" ht="15" x14ac:dyDescent="0.25">
      <c r="A875" s="69"/>
      <c r="B875" s="69"/>
      <c r="C875" s="69"/>
      <c r="D875" s="69"/>
      <c r="E875" s="70"/>
      <c r="F875" s="71"/>
      <c r="G875" s="69"/>
    </row>
    <row r="876" spans="1:7" ht="15" x14ac:dyDescent="0.25">
      <c r="A876" s="69"/>
      <c r="B876" s="69"/>
      <c r="C876" s="69"/>
      <c r="D876" s="69"/>
      <c r="E876" s="70"/>
      <c r="F876" s="71"/>
      <c r="G876" s="69"/>
    </row>
    <row r="877" spans="1:7" ht="15" x14ac:dyDescent="0.25">
      <c r="A877" s="69"/>
      <c r="B877" s="69"/>
      <c r="C877" s="69"/>
      <c r="D877" s="69"/>
      <c r="E877" s="70"/>
      <c r="F877" s="71"/>
      <c r="G877" s="69"/>
    </row>
    <row r="878" spans="1:7" ht="15" x14ac:dyDescent="0.25">
      <c r="A878" s="69"/>
      <c r="B878" s="69"/>
      <c r="C878" s="69"/>
      <c r="D878" s="69"/>
      <c r="E878" s="70"/>
      <c r="F878" s="71"/>
      <c r="G878" s="69"/>
    </row>
    <row r="879" spans="1:7" ht="15" x14ac:dyDescent="0.25">
      <c r="A879" s="69"/>
      <c r="B879" s="69"/>
      <c r="C879" s="69"/>
      <c r="D879" s="69"/>
      <c r="E879" s="70"/>
      <c r="F879" s="71"/>
      <c r="G879" s="69"/>
    </row>
    <row r="880" spans="1:7" ht="15" x14ac:dyDescent="0.25">
      <c r="A880" s="69"/>
      <c r="B880" s="69"/>
      <c r="C880" s="69"/>
      <c r="D880" s="69"/>
      <c r="E880" s="70"/>
      <c r="F880" s="71"/>
      <c r="G880" s="69"/>
    </row>
    <row r="881" spans="1:7" ht="15" x14ac:dyDescent="0.25">
      <c r="A881" s="69"/>
      <c r="B881" s="69"/>
      <c r="C881" s="69"/>
      <c r="D881" s="69"/>
      <c r="E881" s="70"/>
      <c r="F881" s="71"/>
      <c r="G881" s="69"/>
    </row>
    <row r="882" spans="1:7" ht="15" x14ac:dyDescent="0.25">
      <c r="A882" s="69"/>
      <c r="B882" s="69"/>
      <c r="C882" s="69"/>
      <c r="D882" s="69"/>
      <c r="E882" s="70"/>
      <c r="F882" s="71"/>
      <c r="G882" s="69"/>
    </row>
    <row r="883" spans="1:7" ht="15" x14ac:dyDescent="0.25">
      <c r="A883" s="69"/>
      <c r="B883" s="69"/>
      <c r="C883" s="69"/>
      <c r="D883" s="69"/>
      <c r="E883" s="70"/>
      <c r="F883" s="71"/>
      <c r="G883" s="69"/>
    </row>
    <row r="884" spans="1:7" ht="15" x14ac:dyDescent="0.25">
      <c r="A884" s="69"/>
      <c r="B884" s="69"/>
      <c r="C884" s="69"/>
      <c r="D884" s="69"/>
      <c r="E884" s="70"/>
      <c r="F884" s="71"/>
      <c r="G884" s="69"/>
    </row>
    <row r="885" spans="1:7" ht="15" x14ac:dyDescent="0.25">
      <c r="A885" s="69"/>
      <c r="B885" s="69"/>
      <c r="C885" s="69"/>
      <c r="D885" s="69"/>
      <c r="E885" s="70"/>
      <c r="F885" s="71"/>
      <c r="G885" s="69"/>
    </row>
    <row r="886" spans="1:7" ht="15" x14ac:dyDescent="0.25">
      <c r="A886" s="69"/>
      <c r="B886" s="69"/>
      <c r="C886" s="69"/>
      <c r="D886" s="69"/>
      <c r="E886" s="70"/>
      <c r="F886" s="71"/>
      <c r="G886" s="69"/>
    </row>
    <row r="887" spans="1:7" ht="15" x14ac:dyDescent="0.25">
      <c r="A887" s="69"/>
      <c r="B887" s="69"/>
      <c r="C887" s="69"/>
      <c r="D887" s="69"/>
      <c r="E887" s="70"/>
      <c r="F887" s="71"/>
      <c r="G887" s="69"/>
    </row>
    <row r="888" spans="1:7" ht="15" x14ac:dyDescent="0.25">
      <c r="A888" s="69"/>
      <c r="B888" s="69"/>
      <c r="C888" s="69"/>
      <c r="D888" s="69"/>
      <c r="E888" s="70"/>
      <c r="F888" s="71"/>
      <c r="G888" s="69"/>
    </row>
    <row r="889" spans="1:7" ht="15" x14ac:dyDescent="0.25">
      <c r="A889" s="69"/>
      <c r="B889" s="69"/>
      <c r="C889" s="69"/>
      <c r="D889" s="69"/>
      <c r="E889" s="70"/>
      <c r="F889" s="71"/>
      <c r="G889" s="69"/>
    </row>
    <row r="890" spans="1:7" ht="15" x14ac:dyDescent="0.25">
      <c r="A890" s="69"/>
      <c r="B890" s="69"/>
      <c r="C890" s="69"/>
      <c r="D890" s="69"/>
      <c r="E890" s="70"/>
      <c r="F890" s="71"/>
      <c r="G890" s="69"/>
    </row>
    <row r="891" spans="1:7" ht="15" x14ac:dyDescent="0.25">
      <c r="A891" s="69"/>
      <c r="B891" s="69"/>
      <c r="C891" s="69"/>
      <c r="D891" s="69"/>
      <c r="E891" s="70"/>
      <c r="F891" s="71"/>
      <c r="G891" s="69"/>
    </row>
    <row r="892" spans="1:7" ht="15" x14ac:dyDescent="0.25">
      <c r="A892" s="69"/>
      <c r="B892" s="69"/>
      <c r="C892" s="69"/>
      <c r="D892" s="69"/>
      <c r="E892" s="70"/>
      <c r="F892" s="71"/>
      <c r="G892" s="69"/>
    </row>
    <row r="893" spans="1:7" ht="15" x14ac:dyDescent="0.25">
      <c r="A893" s="69"/>
      <c r="B893" s="69"/>
      <c r="C893" s="69"/>
      <c r="D893" s="69"/>
      <c r="E893" s="70"/>
      <c r="F893" s="71"/>
      <c r="G893" s="69"/>
    </row>
    <row r="894" spans="1:7" ht="15" x14ac:dyDescent="0.25">
      <c r="A894" s="69"/>
      <c r="B894" s="69"/>
      <c r="C894" s="69"/>
      <c r="D894" s="69"/>
      <c r="E894" s="70"/>
      <c r="F894" s="71"/>
      <c r="G894" s="69"/>
    </row>
    <row r="895" spans="1:7" ht="15" x14ac:dyDescent="0.25">
      <c r="A895" s="69"/>
      <c r="B895" s="69"/>
      <c r="C895" s="69"/>
      <c r="D895" s="69"/>
      <c r="E895" s="70"/>
      <c r="F895" s="71"/>
      <c r="G895" s="69"/>
    </row>
    <row r="896" spans="1:7" ht="15" x14ac:dyDescent="0.25">
      <c r="A896" s="69"/>
      <c r="B896" s="69"/>
      <c r="C896" s="69"/>
      <c r="D896" s="69"/>
      <c r="E896" s="70"/>
      <c r="F896" s="71"/>
      <c r="G896" s="69"/>
    </row>
    <row r="897" spans="1:7" ht="15" x14ac:dyDescent="0.25">
      <c r="A897" s="69"/>
      <c r="B897" s="69"/>
      <c r="C897" s="69"/>
      <c r="D897" s="69"/>
      <c r="E897" s="70"/>
      <c r="F897" s="71"/>
      <c r="G897" s="69"/>
    </row>
    <row r="898" spans="1:7" ht="15" x14ac:dyDescent="0.25">
      <c r="A898" s="69"/>
      <c r="B898" s="69"/>
      <c r="C898" s="69"/>
      <c r="D898" s="69"/>
      <c r="E898" s="70"/>
      <c r="F898" s="71"/>
      <c r="G898" s="69"/>
    </row>
    <row r="899" spans="1:7" ht="15" x14ac:dyDescent="0.25">
      <c r="A899" s="69"/>
      <c r="B899" s="69"/>
      <c r="C899" s="69"/>
      <c r="D899" s="69"/>
      <c r="E899" s="70"/>
      <c r="F899" s="71"/>
      <c r="G899" s="69"/>
    </row>
    <row r="900" spans="1:7" ht="15" x14ac:dyDescent="0.25">
      <c r="A900" s="69"/>
      <c r="B900" s="69"/>
      <c r="C900" s="69"/>
      <c r="D900" s="69"/>
      <c r="E900" s="70"/>
      <c r="F900" s="71"/>
      <c r="G900" s="69"/>
    </row>
    <row r="901" spans="1:7" ht="15" x14ac:dyDescent="0.25">
      <c r="A901" s="69"/>
      <c r="B901" s="69"/>
      <c r="C901" s="69"/>
      <c r="D901" s="69"/>
      <c r="E901" s="70"/>
      <c r="F901" s="71"/>
      <c r="G901" s="69"/>
    </row>
    <row r="902" spans="1:7" ht="15" x14ac:dyDescent="0.25">
      <c r="A902" s="69"/>
      <c r="B902" s="69"/>
      <c r="C902" s="69"/>
      <c r="D902" s="69"/>
      <c r="E902" s="70"/>
      <c r="F902" s="71"/>
      <c r="G902" s="69"/>
    </row>
    <row r="903" spans="1:7" ht="15" x14ac:dyDescent="0.25">
      <c r="A903" s="69"/>
      <c r="B903" s="69"/>
      <c r="C903" s="69"/>
      <c r="D903" s="69"/>
      <c r="E903" s="70"/>
      <c r="F903" s="71"/>
      <c r="G903" s="69"/>
    </row>
    <row r="904" spans="1:7" ht="15" x14ac:dyDescent="0.25">
      <c r="A904" s="69"/>
      <c r="B904" s="69"/>
      <c r="C904" s="69"/>
      <c r="D904" s="69"/>
      <c r="E904" s="70"/>
      <c r="F904" s="71"/>
      <c r="G904" s="69"/>
    </row>
    <row r="905" spans="1:7" ht="15" x14ac:dyDescent="0.25">
      <c r="A905" s="69"/>
      <c r="B905" s="69"/>
      <c r="C905" s="69"/>
      <c r="D905" s="69"/>
      <c r="E905" s="70"/>
      <c r="F905" s="71"/>
      <c r="G905" s="69"/>
    </row>
    <row r="906" spans="1:7" ht="15" x14ac:dyDescent="0.25">
      <c r="A906" s="69"/>
      <c r="B906" s="69"/>
      <c r="C906" s="69"/>
      <c r="D906" s="69"/>
      <c r="E906" s="70"/>
      <c r="F906" s="71"/>
      <c r="G906" s="69"/>
    </row>
    <row r="907" spans="1:7" ht="15" x14ac:dyDescent="0.25">
      <c r="A907" s="69"/>
      <c r="B907" s="69"/>
      <c r="C907" s="69"/>
      <c r="D907" s="69"/>
      <c r="E907" s="70"/>
      <c r="F907" s="71"/>
      <c r="G907" s="69"/>
    </row>
    <row r="908" spans="1:7" ht="15" x14ac:dyDescent="0.25">
      <c r="A908" s="69"/>
      <c r="B908" s="69"/>
      <c r="C908" s="69"/>
      <c r="D908" s="69"/>
      <c r="E908" s="70"/>
      <c r="F908" s="71"/>
      <c r="G908" s="69"/>
    </row>
    <row r="909" spans="1:7" ht="15" x14ac:dyDescent="0.25">
      <c r="A909" s="69"/>
      <c r="B909" s="69"/>
      <c r="C909" s="69"/>
      <c r="D909" s="69"/>
      <c r="E909" s="70"/>
      <c r="F909" s="71"/>
      <c r="G909" s="69"/>
    </row>
    <row r="910" spans="1:7" ht="15" x14ac:dyDescent="0.25">
      <c r="A910" s="69"/>
      <c r="B910" s="69"/>
      <c r="C910" s="69"/>
      <c r="D910" s="69"/>
      <c r="E910" s="70"/>
      <c r="F910" s="71"/>
      <c r="G910" s="69"/>
    </row>
    <row r="911" spans="1:7" ht="15" x14ac:dyDescent="0.25">
      <c r="A911" s="69"/>
      <c r="B911" s="69"/>
      <c r="C911" s="69"/>
      <c r="D911" s="69"/>
      <c r="E911" s="70"/>
      <c r="F911" s="71"/>
      <c r="G911" s="69"/>
    </row>
    <row r="912" spans="1:7" ht="15" x14ac:dyDescent="0.25">
      <c r="A912" s="69"/>
      <c r="B912" s="69"/>
      <c r="C912" s="69"/>
      <c r="D912" s="69"/>
      <c r="E912" s="70"/>
      <c r="F912" s="71"/>
      <c r="G912" s="69"/>
    </row>
    <row r="913" spans="1:7" ht="15" x14ac:dyDescent="0.25">
      <c r="A913" s="69"/>
      <c r="B913" s="69"/>
      <c r="C913" s="69"/>
      <c r="D913" s="69"/>
      <c r="E913" s="70"/>
      <c r="F913" s="71"/>
      <c r="G913" s="69"/>
    </row>
    <row r="914" spans="1:7" ht="15" x14ac:dyDescent="0.25">
      <c r="A914" s="69"/>
      <c r="B914" s="69"/>
      <c r="C914" s="69"/>
      <c r="D914" s="69"/>
      <c r="E914" s="70"/>
      <c r="F914" s="71"/>
      <c r="G914" s="69"/>
    </row>
    <row r="915" spans="1:7" ht="15" x14ac:dyDescent="0.25">
      <c r="A915" s="69"/>
      <c r="B915" s="69"/>
      <c r="C915" s="69"/>
      <c r="D915" s="69"/>
      <c r="E915" s="70"/>
      <c r="F915" s="71"/>
      <c r="G915" s="69"/>
    </row>
    <row r="916" spans="1:7" ht="15" x14ac:dyDescent="0.25">
      <c r="A916" s="69"/>
      <c r="B916" s="69"/>
      <c r="C916" s="69"/>
      <c r="D916" s="69"/>
      <c r="E916" s="70"/>
      <c r="F916" s="71"/>
      <c r="G916" s="69"/>
    </row>
    <row r="917" spans="1:7" ht="15" x14ac:dyDescent="0.25">
      <c r="A917" s="69"/>
      <c r="B917" s="69"/>
      <c r="C917" s="69"/>
      <c r="D917" s="69"/>
      <c r="E917" s="70"/>
      <c r="F917" s="71"/>
      <c r="G917" s="69"/>
    </row>
    <row r="918" spans="1:7" ht="15" x14ac:dyDescent="0.25">
      <c r="A918" s="69"/>
      <c r="B918" s="69"/>
      <c r="C918" s="69"/>
      <c r="D918" s="69"/>
      <c r="E918" s="70"/>
      <c r="F918" s="71"/>
      <c r="G918" s="69"/>
    </row>
    <row r="919" spans="1:7" ht="15" x14ac:dyDescent="0.25">
      <c r="A919" s="69"/>
      <c r="B919" s="69"/>
      <c r="C919" s="69"/>
      <c r="D919" s="69"/>
      <c r="E919" s="70"/>
      <c r="F919" s="71"/>
      <c r="G919" s="69"/>
    </row>
    <row r="920" spans="1:7" ht="15" x14ac:dyDescent="0.25">
      <c r="A920" s="69"/>
      <c r="B920" s="69"/>
      <c r="C920" s="69"/>
      <c r="D920" s="69"/>
      <c r="E920" s="70"/>
      <c r="F920" s="71"/>
      <c r="G920" s="69"/>
    </row>
    <row r="921" spans="1:7" ht="15" x14ac:dyDescent="0.25">
      <c r="A921" s="69"/>
      <c r="B921" s="69"/>
      <c r="C921" s="69"/>
      <c r="D921" s="69"/>
      <c r="E921" s="70"/>
      <c r="F921" s="71"/>
      <c r="G921" s="69"/>
    </row>
    <row r="922" spans="1:7" ht="15" x14ac:dyDescent="0.25">
      <c r="A922" s="69"/>
      <c r="B922" s="69"/>
      <c r="C922" s="69"/>
      <c r="D922" s="69"/>
      <c r="E922" s="70"/>
      <c r="F922" s="71"/>
      <c r="G922" s="69"/>
    </row>
    <row r="923" spans="1:7" ht="15" x14ac:dyDescent="0.25">
      <c r="A923" s="69"/>
      <c r="B923" s="69"/>
      <c r="C923" s="69"/>
      <c r="D923" s="69"/>
      <c r="E923" s="70"/>
      <c r="F923" s="71"/>
      <c r="G923" s="69"/>
    </row>
    <row r="924" spans="1:7" ht="15" x14ac:dyDescent="0.25">
      <c r="A924" s="69"/>
      <c r="B924" s="69"/>
      <c r="C924" s="69"/>
      <c r="D924" s="69"/>
      <c r="E924" s="70"/>
      <c r="F924" s="71"/>
      <c r="G924" s="69"/>
    </row>
    <row r="925" spans="1:7" ht="15" x14ac:dyDescent="0.25">
      <c r="A925" s="69"/>
      <c r="B925" s="69"/>
      <c r="C925" s="69"/>
      <c r="D925" s="69"/>
      <c r="E925" s="70"/>
      <c r="F925" s="71"/>
      <c r="G925" s="69"/>
    </row>
    <row r="926" spans="1:7" ht="15" x14ac:dyDescent="0.25">
      <c r="A926" s="69"/>
      <c r="B926" s="69"/>
      <c r="C926" s="69"/>
      <c r="D926" s="69"/>
      <c r="E926" s="70"/>
      <c r="F926" s="71"/>
      <c r="G926" s="69"/>
    </row>
    <row r="927" spans="1:7" ht="15" x14ac:dyDescent="0.25">
      <c r="A927" s="69"/>
      <c r="B927" s="69"/>
      <c r="C927" s="69"/>
      <c r="D927" s="69"/>
      <c r="E927" s="70"/>
      <c r="F927" s="71"/>
      <c r="G927" s="69"/>
    </row>
    <row r="928" spans="1:7" ht="15" x14ac:dyDescent="0.25">
      <c r="A928" s="69"/>
      <c r="B928" s="69"/>
      <c r="C928" s="69"/>
      <c r="D928" s="69"/>
      <c r="E928" s="70"/>
      <c r="F928" s="71"/>
      <c r="G928" s="69"/>
    </row>
    <row r="929" spans="1:7" ht="15" x14ac:dyDescent="0.25">
      <c r="A929" s="69"/>
      <c r="B929" s="69"/>
      <c r="C929" s="69"/>
      <c r="D929" s="69"/>
      <c r="E929" s="70"/>
      <c r="F929" s="71"/>
      <c r="G929" s="69"/>
    </row>
    <row r="930" spans="1:7" ht="15" x14ac:dyDescent="0.25">
      <c r="A930" s="69"/>
      <c r="B930" s="69"/>
      <c r="C930" s="69"/>
      <c r="D930" s="69"/>
      <c r="E930" s="70"/>
      <c r="F930" s="71"/>
      <c r="G930" s="69"/>
    </row>
    <row r="931" spans="1:7" ht="15" x14ac:dyDescent="0.25">
      <c r="A931" s="69"/>
      <c r="B931" s="69"/>
      <c r="C931" s="69"/>
      <c r="D931" s="69"/>
      <c r="E931" s="70"/>
      <c r="F931" s="71"/>
      <c r="G931" s="69"/>
    </row>
    <row r="932" spans="1:7" ht="15" x14ac:dyDescent="0.25">
      <c r="A932" s="69"/>
      <c r="B932" s="69"/>
      <c r="C932" s="69"/>
      <c r="D932" s="69"/>
      <c r="E932" s="70"/>
      <c r="F932" s="71"/>
      <c r="G932" s="69"/>
    </row>
    <row r="933" spans="1:7" ht="15" x14ac:dyDescent="0.25">
      <c r="A933" s="69"/>
      <c r="B933" s="69"/>
      <c r="C933" s="69"/>
      <c r="D933" s="69"/>
      <c r="E933" s="70"/>
      <c r="F933" s="71"/>
      <c r="G933" s="69"/>
    </row>
    <row r="934" spans="1:7" ht="15" x14ac:dyDescent="0.25">
      <c r="A934" s="69"/>
      <c r="B934" s="69"/>
      <c r="C934" s="69"/>
      <c r="D934" s="69"/>
      <c r="E934" s="70"/>
      <c r="F934" s="71"/>
      <c r="G934" s="69"/>
    </row>
    <row r="935" spans="1:7" ht="15" x14ac:dyDescent="0.25">
      <c r="A935" s="69"/>
      <c r="B935" s="69"/>
      <c r="C935" s="69"/>
      <c r="D935" s="69"/>
      <c r="E935" s="70"/>
      <c r="F935" s="71"/>
      <c r="G935" s="69"/>
    </row>
    <row r="936" spans="1:7" ht="15" x14ac:dyDescent="0.25">
      <c r="A936" s="69"/>
      <c r="B936" s="69"/>
      <c r="C936" s="69"/>
      <c r="D936" s="69"/>
      <c r="E936" s="70"/>
      <c r="F936" s="71"/>
      <c r="G936" s="69"/>
    </row>
    <row r="937" spans="1:7" ht="15" x14ac:dyDescent="0.25">
      <c r="A937" s="69"/>
      <c r="B937" s="69"/>
      <c r="C937" s="69"/>
      <c r="D937" s="69"/>
      <c r="E937" s="70"/>
      <c r="F937" s="71"/>
      <c r="G937" s="69"/>
    </row>
    <row r="938" spans="1:7" ht="15" x14ac:dyDescent="0.25">
      <c r="A938" s="69"/>
      <c r="B938" s="69"/>
      <c r="C938" s="69"/>
      <c r="D938" s="69"/>
      <c r="E938" s="70"/>
      <c r="F938" s="71"/>
      <c r="G938" s="69"/>
    </row>
    <row r="939" spans="1:7" ht="15" x14ac:dyDescent="0.25">
      <c r="A939" s="69"/>
      <c r="B939" s="69"/>
      <c r="C939" s="69"/>
      <c r="D939" s="69"/>
      <c r="E939" s="70"/>
      <c r="F939" s="71"/>
      <c r="G939" s="69"/>
    </row>
    <row r="940" spans="1:7" ht="15" x14ac:dyDescent="0.25">
      <c r="A940" s="69"/>
      <c r="B940" s="69"/>
      <c r="C940" s="69"/>
      <c r="D940" s="69"/>
      <c r="E940" s="70"/>
      <c r="F940" s="71"/>
      <c r="G940" s="69"/>
    </row>
    <row r="941" spans="1:7" ht="15" x14ac:dyDescent="0.25">
      <c r="A941" s="69"/>
      <c r="B941" s="69"/>
      <c r="C941" s="69"/>
      <c r="D941" s="69"/>
      <c r="E941" s="70"/>
      <c r="F941" s="71"/>
      <c r="G941" s="69"/>
    </row>
    <row r="942" spans="1:7" ht="15" x14ac:dyDescent="0.25">
      <c r="A942" s="69"/>
      <c r="B942" s="69"/>
      <c r="C942" s="69"/>
      <c r="D942" s="69"/>
      <c r="E942" s="70"/>
      <c r="F942" s="71"/>
      <c r="G942" s="69"/>
    </row>
    <row r="943" spans="1:7" ht="15" x14ac:dyDescent="0.25">
      <c r="A943" s="69"/>
      <c r="B943" s="69"/>
      <c r="C943" s="69"/>
      <c r="D943" s="69"/>
      <c r="E943" s="70"/>
      <c r="F943" s="71"/>
      <c r="G943" s="69"/>
    </row>
    <row r="944" spans="1:7" ht="15" x14ac:dyDescent="0.25">
      <c r="A944" s="69"/>
      <c r="B944" s="69"/>
      <c r="C944" s="69"/>
      <c r="D944" s="69"/>
      <c r="E944" s="70"/>
      <c r="F944" s="71"/>
      <c r="G944" s="69"/>
    </row>
    <row r="945" spans="1:7" ht="15" x14ac:dyDescent="0.25">
      <c r="A945" s="69"/>
      <c r="B945" s="69"/>
      <c r="C945" s="69"/>
      <c r="D945" s="69"/>
      <c r="E945" s="70"/>
      <c r="F945" s="71"/>
      <c r="G945" s="69"/>
    </row>
    <row r="946" spans="1:7" ht="15" x14ac:dyDescent="0.25">
      <c r="A946" s="69"/>
      <c r="B946" s="69"/>
      <c r="C946" s="69"/>
      <c r="D946" s="69"/>
      <c r="E946" s="70"/>
      <c r="F946" s="71"/>
      <c r="G946" s="69"/>
    </row>
    <row r="947" spans="1:7" ht="15" x14ac:dyDescent="0.25">
      <c r="A947" s="69"/>
      <c r="B947" s="69"/>
      <c r="C947" s="69"/>
      <c r="D947" s="69"/>
      <c r="E947" s="70"/>
      <c r="F947" s="71"/>
      <c r="G947" s="69"/>
    </row>
    <row r="948" spans="1:7" ht="15" x14ac:dyDescent="0.25">
      <c r="A948" s="69"/>
      <c r="B948" s="69"/>
      <c r="C948" s="69"/>
      <c r="D948" s="69"/>
      <c r="E948" s="70"/>
      <c r="F948" s="71"/>
      <c r="G948" s="69"/>
    </row>
    <row r="949" spans="1:7" ht="15" x14ac:dyDescent="0.25">
      <c r="A949" s="69"/>
      <c r="B949" s="69"/>
      <c r="C949" s="69"/>
      <c r="D949" s="69"/>
      <c r="E949" s="70"/>
      <c r="F949" s="71"/>
      <c r="G949" s="69"/>
    </row>
    <row r="950" spans="1:7" ht="15" x14ac:dyDescent="0.25">
      <c r="A950" s="69"/>
      <c r="B950" s="69"/>
      <c r="C950" s="69"/>
      <c r="D950" s="69"/>
      <c r="E950" s="70"/>
      <c r="F950" s="71"/>
      <c r="G950" s="69"/>
    </row>
    <row r="951" spans="1:7" ht="15" x14ac:dyDescent="0.25">
      <c r="A951" s="69"/>
      <c r="B951" s="69"/>
      <c r="C951" s="69"/>
      <c r="D951" s="69"/>
      <c r="E951" s="70"/>
      <c r="F951" s="71"/>
      <c r="G951" s="69"/>
    </row>
    <row r="952" spans="1:7" ht="15" x14ac:dyDescent="0.25">
      <c r="A952" s="69"/>
      <c r="B952" s="69"/>
      <c r="C952" s="69"/>
      <c r="D952" s="69"/>
      <c r="E952" s="70"/>
      <c r="F952" s="71"/>
      <c r="G952" s="69"/>
    </row>
    <row r="953" spans="1:7" ht="15" x14ac:dyDescent="0.25">
      <c r="A953" s="69"/>
      <c r="B953" s="69"/>
      <c r="C953" s="69"/>
      <c r="D953" s="69"/>
      <c r="E953" s="70"/>
      <c r="F953" s="71"/>
      <c r="G953" s="69"/>
    </row>
    <row r="954" spans="1:7" ht="15" x14ac:dyDescent="0.25">
      <c r="A954" s="69"/>
      <c r="B954" s="69"/>
      <c r="C954" s="69"/>
      <c r="D954" s="69"/>
      <c r="E954" s="70"/>
      <c r="F954" s="71"/>
      <c r="G954" s="69"/>
    </row>
    <row r="955" spans="1:7" ht="15" x14ac:dyDescent="0.25">
      <c r="A955" s="69"/>
      <c r="B955" s="69"/>
      <c r="C955" s="69"/>
      <c r="D955" s="69"/>
      <c r="E955" s="70"/>
      <c r="F955" s="71"/>
      <c r="G955" s="69"/>
    </row>
    <row r="956" spans="1:7" ht="15" x14ac:dyDescent="0.25">
      <c r="A956" s="69"/>
      <c r="B956" s="69"/>
      <c r="C956" s="69"/>
      <c r="D956" s="69"/>
      <c r="E956" s="70"/>
      <c r="F956" s="71"/>
      <c r="G956" s="69"/>
    </row>
    <row r="957" spans="1:7" ht="15" x14ac:dyDescent="0.25">
      <c r="A957" s="69"/>
      <c r="B957" s="69"/>
      <c r="C957" s="69"/>
      <c r="D957" s="69"/>
      <c r="E957" s="70"/>
      <c r="F957" s="71"/>
      <c r="G957" s="69"/>
    </row>
    <row r="958" spans="1:7" ht="15" x14ac:dyDescent="0.25">
      <c r="A958" s="69"/>
      <c r="B958" s="69"/>
      <c r="C958" s="69"/>
      <c r="D958" s="69"/>
      <c r="E958" s="70"/>
      <c r="F958" s="71"/>
      <c r="G958" s="69"/>
    </row>
    <row r="959" spans="1:7" ht="15" x14ac:dyDescent="0.25">
      <c r="A959" s="69"/>
      <c r="B959" s="69"/>
      <c r="C959" s="69"/>
      <c r="D959" s="69"/>
      <c r="E959" s="70"/>
      <c r="F959" s="71"/>
      <c r="G959" s="69"/>
    </row>
    <row r="960" spans="1:7" ht="15" x14ac:dyDescent="0.25">
      <c r="A960" s="69"/>
      <c r="B960" s="69"/>
      <c r="C960" s="69"/>
      <c r="D960" s="69"/>
      <c r="E960" s="70"/>
      <c r="F960" s="71"/>
      <c r="G960" s="69"/>
    </row>
    <row r="961" spans="1:7" ht="15" x14ac:dyDescent="0.25">
      <c r="A961" s="69"/>
      <c r="B961" s="69"/>
      <c r="C961" s="69"/>
      <c r="D961" s="69"/>
      <c r="E961" s="70"/>
      <c r="F961" s="71"/>
      <c r="G961" s="69"/>
    </row>
    <row r="962" spans="1:7" ht="15" x14ac:dyDescent="0.25">
      <c r="A962" s="69"/>
      <c r="B962" s="69"/>
      <c r="C962" s="69"/>
      <c r="D962" s="69"/>
      <c r="E962" s="70"/>
      <c r="F962" s="71"/>
      <c r="G962" s="69"/>
    </row>
    <row r="963" spans="1:7" ht="15" x14ac:dyDescent="0.25">
      <c r="A963" s="69"/>
      <c r="B963" s="69"/>
      <c r="C963" s="69"/>
      <c r="D963" s="69"/>
      <c r="E963" s="70"/>
      <c r="F963" s="71"/>
      <c r="G963" s="69"/>
    </row>
    <row r="964" spans="1:7" ht="15" x14ac:dyDescent="0.25">
      <c r="A964" s="69"/>
      <c r="B964" s="69"/>
      <c r="C964" s="69"/>
      <c r="D964" s="69"/>
      <c r="E964" s="70"/>
      <c r="F964" s="71"/>
      <c r="G964" s="69"/>
    </row>
    <row r="965" spans="1:7" ht="15" x14ac:dyDescent="0.25">
      <c r="A965" s="69"/>
      <c r="B965" s="69"/>
      <c r="C965" s="69"/>
      <c r="D965" s="69"/>
      <c r="E965" s="70"/>
      <c r="F965" s="71"/>
      <c r="G965" s="69"/>
    </row>
    <row r="966" spans="1:7" ht="15" x14ac:dyDescent="0.25">
      <c r="A966" s="69"/>
      <c r="B966" s="69"/>
      <c r="C966" s="69"/>
      <c r="D966" s="69"/>
      <c r="E966" s="70"/>
      <c r="F966" s="71"/>
      <c r="G966" s="69"/>
    </row>
    <row r="967" spans="1:7" ht="15" x14ac:dyDescent="0.25">
      <c r="A967" s="69"/>
      <c r="B967" s="69"/>
      <c r="C967" s="69"/>
      <c r="D967" s="69"/>
      <c r="E967" s="70"/>
      <c r="F967" s="71"/>
      <c r="G967" s="69"/>
    </row>
    <row r="968" spans="1:7" ht="15" x14ac:dyDescent="0.25">
      <c r="A968" s="69"/>
      <c r="B968" s="69"/>
      <c r="C968" s="69"/>
      <c r="D968" s="69"/>
      <c r="E968" s="70"/>
      <c r="F968" s="71"/>
      <c r="G968" s="69"/>
    </row>
    <row r="969" spans="1:7" ht="15" x14ac:dyDescent="0.25">
      <c r="A969" s="69"/>
      <c r="B969" s="69"/>
      <c r="C969" s="69"/>
      <c r="D969" s="69"/>
      <c r="E969" s="70"/>
      <c r="F969" s="71"/>
      <c r="G969" s="69"/>
    </row>
    <row r="970" spans="1:7" ht="15" x14ac:dyDescent="0.25">
      <c r="A970" s="69"/>
      <c r="B970" s="69"/>
      <c r="C970" s="69"/>
      <c r="D970" s="69"/>
      <c r="E970" s="70"/>
      <c r="F970" s="71"/>
      <c r="G970" s="69"/>
    </row>
    <row r="971" spans="1:7" ht="15" x14ac:dyDescent="0.25">
      <c r="A971" s="69"/>
      <c r="B971" s="69"/>
      <c r="C971" s="69"/>
      <c r="D971" s="69"/>
      <c r="E971" s="70"/>
      <c r="F971" s="71"/>
      <c r="G971" s="69"/>
    </row>
    <row r="972" spans="1:7" ht="15" x14ac:dyDescent="0.25">
      <c r="A972" s="69"/>
      <c r="B972" s="69"/>
      <c r="C972" s="69"/>
      <c r="D972" s="69"/>
      <c r="E972" s="70"/>
      <c r="F972" s="71"/>
      <c r="G972" s="69"/>
    </row>
    <row r="973" spans="1:7" ht="15" x14ac:dyDescent="0.25">
      <c r="A973" s="69"/>
      <c r="B973" s="69"/>
      <c r="C973" s="69"/>
      <c r="D973" s="69"/>
      <c r="E973" s="70"/>
      <c r="F973" s="71"/>
      <c r="G973" s="69"/>
    </row>
    <row r="974" spans="1:7" ht="15" x14ac:dyDescent="0.25">
      <c r="A974" s="69"/>
      <c r="B974" s="69"/>
      <c r="C974" s="69"/>
      <c r="D974" s="69"/>
      <c r="E974" s="70"/>
      <c r="F974" s="71"/>
      <c r="G974" s="69"/>
    </row>
    <row r="975" spans="1:7" ht="15" x14ac:dyDescent="0.25">
      <c r="A975" s="69"/>
      <c r="B975" s="69"/>
      <c r="C975" s="69"/>
      <c r="D975" s="69"/>
      <c r="E975" s="70"/>
      <c r="F975" s="71"/>
      <c r="G975" s="69"/>
    </row>
    <row r="976" spans="1:7" ht="15" x14ac:dyDescent="0.25">
      <c r="A976" s="69"/>
      <c r="B976" s="69"/>
      <c r="C976" s="69"/>
      <c r="D976" s="69"/>
      <c r="E976" s="70"/>
      <c r="F976" s="71"/>
      <c r="G976" s="69"/>
    </row>
    <row r="977" spans="1:7" ht="15" x14ac:dyDescent="0.25">
      <c r="A977" s="69"/>
      <c r="B977" s="69"/>
      <c r="C977" s="69"/>
      <c r="D977" s="69"/>
      <c r="E977" s="70"/>
      <c r="F977" s="71"/>
      <c r="G977" s="69"/>
    </row>
    <row r="978" spans="1:7" ht="15" x14ac:dyDescent="0.25">
      <c r="A978" s="69"/>
      <c r="B978" s="69"/>
      <c r="C978" s="69"/>
      <c r="D978" s="69"/>
      <c r="E978" s="70"/>
      <c r="F978" s="71"/>
      <c r="G978" s="69"/>
    </row>
    <row r="979" spans="1:7" ht="15" x14ac:dyDescent="0.25">
      <c r="A979" s="69"/>
      <c r="B979" s="69"/>
      <c r="C979" s="69"/>
      <c r="D979" s="69"/>
      <c r="E979" s="70"/>
      <c r="F979" s="71"/>
      <c r="G979" s="69"/>
    </row>
    <row r="980" spans="1:7" ht="15" x14ac:dyDescent="0.25">
      <c r="A980" s="69"/>
      <c r="B980" s="69"/>
      <c r="C980" s="69"/>
      <c r="D980" s="69"/>
      <c r="E980" s="70"/>
      <c r="F980" s="71"/>
      <c r="G980" s="69"/>
    </row>
    <row r="981" spans="1:7" ht="15" x14ac:dyDescent="0.25">
      <c r="A981" s="69"/>
      <c r="B981" s="69"/>
      <c r="C981" s="69"/>
      <c r="D981" s="69"/>
      <c r="E981" s="70"/>
      <c r="F981" s="71"/>
      <c r="G981" s="69"/>
    </row>
    <row r="982" spans="1:7" ht="15" x14ac:dyDescent="0.25">
      <c r="A982" s="69"/>
      <c r="B982" s="69"/>
      <c r="C982" s="69"/>
      <c r="D982" s="69"/>
      <c r="E982" s="70"/>
      <c r="F982" s="71"/>
      <c r="G982" s="69"/>
    </row>
    <row r="983" spans="1:7" ht="15" x14ac:dyDescent="0.25">
      <c r="A983" s="69"/>
      <c r="B983" s="69"/>
      <c r="C983" s="69"/>
      <c r="D983" s="69"/>
      <c r="E983" s="70"/>
      <c r="F983" s="71"/>
      <c r="G983" s="69"/>
    </row>
    <row r="984" spans="1:7" ht="15" x14ac:dyDescent="0.25">
      <c r="A984" s="69"/>
      <c r="B984" s="69"/>
      <c r="C984" s="69"/>
      <c r="D984" s="69"/>
      <c r="E984" s="70"/>
      <c r="F984" s="71"/>
      <c r="G984" s="69"/>
    </row>
    <row r="985" spans="1:7" ht="15" x14ac:dyDescent="0.25">
      <c r="A985" s="69"/>
      <c r="B985" s="69"/>
      <c r="C985" s="69"/>
      <c r="D985" s="69"/>
      <c r="E985" s="70"/>
      <c r="F985" s="71"/>
      <c r="G985" s="69"/>
    </row>
    <row r="986" spans="1:7" ht="15" x14ac:dyDescent="0.25">
      <c r="A986" s="69"/>
      <c r="B986" s="69"/>
      <c r="C986" s="69"/>
      <c r="D986" s="69"/>
      <c r="E986" s="70"/>
      <c r="F986" s="71"/>
      <c r="G986" s="69"/>
    </row>
    <row r="987" spans="1:7" ht="15" x14ac:dyDescent="0.25">
      <c r="A987" s="69"/>
      <c r="B987" s="69"/>
      <c r="C987" s="69"/>
      <c r="D987" s="69"/>
      <c r="E987" s="70"/>
      <c r="F987" s="71"/>
      <c r="G987" s="69"/>
    </row>
    <row r="988" spans="1:7" ht="15" x14ac:dyDescent="0.25">
      <c r="A988" s="69"/>
      <c r="B988" s="69"/>
      <c r="C988" s="69"/>
      <c r="D988" s="69"/>
      <c r="E988" s="70"/>
      <c r="F988" s="71"/>
      <c r="G988" s="69"/>
    </row>
    <row r="989" spans="1:7" ht="15" x14ac:dyDescent="0.25">
      <c r="A989" s="69"/>
      <c r="B989" s="69"/>
      <c r="C989" s="69"/>
      <c r="D989" s="69"/>
      <c r="E989" s="70"/>
      <c r="F989" s="71"/>
      <c r="G989" s="69"/>
    </row>
    <row r="990" spans="1:7" ht="15" x14ac:dyDescent="0.25">
      <c r="A990" s="69"/>
      <c r="B990" s="69"/>
      <c r="C990" s="69"/>
      <c r="D990" s="69"/>
      <c r="E990" s="70"/>
      <c r="F990" s="71"/>
      <c r="G990" s="69"/>
    </row>
    <row r="991" spans="1:7" ht="15" x14ac:dyDescent="0.25">
      <c r="A991" s="69"/>
      <c r="B991" s="69"/>
      <c r="C991" s="69"/>
      <c r="D991" s="69"/>
      <c r="E991" s="70"/>
      <c r="F991" s="71"/>
      <c r="G991" s="69"/>
    </row>
    <row r="992" spans="1:7" ht="15" x14ac:dyDescent="0.25">
      <c r="A992" s="69"/>
      <c r="B992" s="69"/>
      <c r="C992" s="69"/>
      <c r="D992" s="69"/>
      <c r="E992" s="70"/>
      <c r="F992" s="71"/>
      <c r="G992" s="69"/>
    </row>
    <row r="993" spans="1:7" ht="15" x14ac:dyDescent="0.25">
      <c r="A993" s="69"/>
      <c r="B993" s="69"/>
      <c r="C993" s="69"/>
      <c r="D993" s="69"/>
      <c r="E993" s="70"/>
      <c r="F993" s="71"/>
      <c r="G993" s="69"/>
    </row>
    <row r="994" spans="1:7" ht="15" x14ac:dyDescent="0.25">
      <c r="A994" s="69"/>
      <c r="B994" s="69"/>
      <c r="C994" s="69"/>
      <c r="D994" s="69"/>
      <c r="E994" s="70"/>
      <c r="F994" s="71"/>
      <c r="G994" s="69"/>
    </row>
    <row r="995" spans="1:7" ht="15" x14ac:dyDescent="0.25">
      <c r="A995" s="69"/>
      <c r="B995" s="69"/>
      <c r="C995" s="69"/>
      <c r="D995" s="69"/>
      <c r="E995" s="70"/>
      <c r="F995" s="71"/>
      <c r="G995" s="69"/>
    </row>
    <row r="996" spans="1:7" ht="15" x14ac:dyDescent="0.25">
      <c r="A996" s="69"/>
      <c r="B996" s="69"/>
      <c r="C996" s="69"/>
      <c r="D996" s="69"/>
      <c r="E996" s="70"/>
      <c r="F996" s="71"/>
      <c r="G996" s="69"/>
    </row>
    <row r="997" spans="1:7" ht="12.75" x14ac:dyDescent="0.2">
      <c r="E997" s="72"/>
      <c r="F997" s="73"/>
    </row>
    <row r="998" spans="1:7" ht="12.75" x14ac:dyDescent="0.2">
      <c r="E998" s="72"/>
      <c r="F998" s="73"/>
    </row>
    <row r="999" spans="1:7" ht="12.75" x14ac:dyDescent="0.2">
      <c r="E999" s="72"/>
      <c r="F999" s="73"/>
    </row>
    <row r="1000" spans="1:7" ht="12.75" x14ac:dyDescent="0.2">
      <c r="E1000" s="72"/>
      <c r="F1000" s="73"/>
    </row>
  </sheetData>
  <autoFilter ref="A1:G176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Individual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User-2</dc:creator>
  <cp:lastModifiedBy>User-2</cp:lastModifiedBy>
  <dcterms:created xsi:type="dcterms:W3CDTF">2026-06-08T10:24:08Z</dcterms:created>
  <dcterms:modified xsi:type="dcterms:W3CDTF">2026-06-08T10:26:12Z</dcterms:modified>
</cp:coreProperties>
</file>